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ve\Downloads\DRAF PROPOSAL TUGAS AKHIR NEW\DATA PENELITIAN\Olah Data\"/>
    </mc:Choice>
  </mc:AlternateContent>
  <xr:revisionPtr revIDLastSave="0" documentId="13_ncr:1_{73B27CA5-3A18-4978-A9E3-33A351D95D4D}" xr6:coauthVersionLast="47" xr6:coauthVersionMax="47" xr10:uidLastSave="{00000000-0000-0000-0000-000000000000}"/>
  <bookViews>
    <workbookView xWindow="-110" yWindow="-110" windowWidth="19420" windowHeight="10300" xr2:uid="{39402D2F-0121-4327-AC42-92D4C2536D8A}"/>
  </bookViews>
  <sheets>
    <sheet name="perhitungan" sheetId="1" r:id="rId1"/>
    <sheet name="transf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G3" i="1"/>
  <c r="G4" i="1"/>
  <c r="G5" i="1"/>
  <c r="G6" i="1"/>
  <c r="G7" i="1"/>
  <c r="G8" i="1"/>
  <c r="G9" i="1"/>
  <c r="G10" i="1"/>
  <c r="F26" i="1" s="1"/>
  <c r="G11" i="1"/>
  <c r="G12" i="1"/>
  <c r="G13" i="1"/>
  <c r="G14" i="1"/>
  <c r="G15" i="1"/>
  <c r="G2" i="1"/>
  <c r="H31" i="1"/>
  <c r="X28" i="1"/>
  <c r="AO27" i="1"/>
  <c r="P27" i="1"/>
  <c r="AF26" i="1"/>
  <c r="W25" i="1"/>
  <c r="AM24" i="1"/>
  <c r="N24" i="1"/>
  <c r="AD23" i="1"/>
  <c r="Q23" i="1"/>
  <c r="D23" i="1"/>
  <c r="AH22" i="1"/>
  <c r="U22" i="1"/>
  <c r="I22" i="1"/>
  <c r="AO21" i="1"/>
  <c r="V21" i="1"/>
  <c r="C21" i="1"/>
  <c r="AI20" i="1"/>
  <c r="P20" i="1"/>
  <c r="AM19" i="1"/>
  <c r="AC19" i="1"/>
  <c r="Q19" i="1"/>
  <c r="L19" i="1"/>
  <c r="H19" i="1"/>
  <c r="C19" i="1"/>
  <c r="AI18" i="1"/>
  <c r="AD18" i="1"/>
  <c r="Z18" i="1"/>
  <c r="U18" i="1"/>
  <c r="K18" i="1"/>
  <c r="AQ15" i="1"/>
  <c r="AK15" i="1"/>
  <c r="AE15" i="1"/>
  <c r="Y15" i="1"/>
  <c r="S15" i="1"/>
  <c r="Q31" i="1" s="1"/>
  <c r="M15" i="1"/>
  <c r="AQ14" i="1"/>
  <c r="AK14" i="1"/>
  <c r="AE14" i="1"/>
  <c r="Y14" i="1"/>
  <c r="S14" i="1"/>
  <c r="Q30" i="1" s="1"/>
  <c r="M14" i="1"/>
  <c r="AQ13" i="1"/>
  <c r="AK13" i="1"/>
  <c r="AH29" i="1" s="1"/>
  <c r="AE13" i="1"/>
  <c r="Y13" i="1"/>
  <c r="S13" i="1"/>
  <c r="M13" i="1"/>
  <c r="I29" i="1" s="1"/>
  <c r="AQ12" i="1"/>
  <c r="AK12" i="1"/>
  <c r="AE12" i="1"/>
  <c r="Y12" i="1"/>
  <c r="S12" i="1"/>
  <c r="M12" i="1"/>
  <c r="E28" i="1"/>
  <c r="AQ11" i="1"/>
  <c r="AK11" i="1"/>
  <c r="AE11" i="1"/>
  <c r="Y11" i="1"/>
  <c r="V27" i="1" s="1"/>
  <c r="S11" i="1"/>
  <c r="M11" i="1"/>
  <c r="AQ10" i="1"/>
  <c r="AK10" i="1"/>
  <c r="AE10" i="1"/>
  <c r="Y10" i="1"/>
  <c r="S10" i="1"/>
  <c r="M10" i="1"/>
  <c r="L26" i="1" s="1"/>
  <c r="AQ9" i="1"/>
  <c r="AK9" i="1"/>
  <c r="AI25" i="1" s="1"/>
  <c r="AE9" i="1"/>
  <c r="AC25" i="1" s="1"/>
  <c r="Y9" i="1"/>
  <c r="S9" i="1"/>
  <c r="M9" i="1"/>
  <c r="D25" i="1"/>
  <c r="AQ8" i="1"/>
  <c r="AK8" i="1"/>
  <c r="AE8" i="1"/>
  <c r="Y8" i="1"/>
  <c r="T24" i="1" s="1"/>
  <c r="S8" i="1"/>
  <c r="M8" i="1"/>
  <c r="AQ7" i="1"/>
  <c r="AP23" i="1" s="1"/>
  <c r="AK7" i="1"/>
  <c r="AJ23" i="1" s="1"/>
  <c r="AE7" i="1"/>
  <c r="Y7" i="1"/>
  <c r="S7" i="1"/>
  <c r="R23" i="1" s="1"/>
  <c r="M7" i="1"/>
  <c r="AQ6" i="1"/>
  <c r="AK6" i="1"/>
  <c r="AI22" i="1" s="1"/>
  <c r="AE6" i="1"/>
  <c r="Y6" i="1"/>
  <c r="S6" i="1"/>
  <c r="O22" i="1" s="1"/>
  <c r="M6" i="1"/>
  <c r="J22" i="1" s="1"/>
  <c r="AQ5" i="1"/>
  <c r="AK5" i="1"/>
  <c r="AE5" i="1"/>
  <c r="AA21" i="1" s="1"/>
  <c r="Y5" i="1"/>
  <c r="W21" i="1" s="1"/>
  <c r="S5" i="1"/>
  <c r="M5" i="1"/>
  <c r="D21" i="1"/>
  <c r="AQ4" i="1"/>
  <c r="AK4" i="1"/>
  <c r="AE4" i="1"/>
  <c r="AD20" i="1" s="1"/>
  <c r="Y4" i="1"/>
  <c r="U20" i="1" s="1"/>
  <c r="S4" i="1"/>
  <c r="Q20" i="1" s="1"/>
  <c r="M4" i="1"/>
  <c r="AQ3" i="1"/>
  <c r="AN19" i="1" s="1"/>
  <c r="AK3" i="1"/>
  <c r="AE3" i="1"/>
  <c r="Y3" i="1"/>
  <c r="U19" i="1" s="1"/>
  <c r="S3" i="1"/>
  <c r="P19" i="1" s="1"/>
  <c r="M3" i="1"/>
  <c r="K19" i="1" s="1"/>
  <c r="F19" i="1"/>
  <c r="AQ2" i="1"/>
  <c r="AM18" i="1" s="1"/>
  <c r="AK2" i="1"/>
  <c r="AH18" i="1" s="1"/>
  <c r="AE2" i="1"/>
  <c r="AC18" i="1" s="1"/>
  <c r="Y2" i="1"/>
  <c r="X18" i="1" s="1"/>
  <c r="S2" i="1"/>
  <c r="O18" i="1" s="1"/>
  <c r="M2" i="1"/>
  <c r="J18" i="1" s="1"/>
  <c r="F18" i="1" l="1"/>
  <c r="E18" i="1"/>
  <c r="E20" i="1"/>
  <c r="D20" i="1"/>
  <c r="AI21" i="1"/>
  <c r="AH21" i="1"/>
  <c r="X23" i="1"/>
  <c r="T23" i="1"/>
  <c r="V23" i="1"/>
  <c r="U23" i="1"/>
  <c r="L25" i="1"/>
  <c r="H25" i="1"/>
  <c r="I25" i="1"/>
  <c r="K25" i="1"/>
  <c r="AP26" i="1"/>
  <c r="AL26" i="1"/>
  <c r="AO26" i="1"/>
  <c r="AN26" i="1"/>
  <c r="AD28" i="1"/>
  <c r="Z28" i="1"/>
  <c r="AC28" i="1"/>
  <c r="AB28" i="1"/>
  <c r="AA28" i="1"/>
  <c r="U31" i="1"/>
  <c r="X31" i="1"/>
  <c r="T31" i="1"/>
  <c r="W31" i="1"/>
  <c r="V31" i="1"/>
  <c r="Z20" i="1"/>
  <c r="AB19" i="1"/>
  <c r="AA19" i="1"/>
  <c r="J20" i="1"/>
  <c r="I20" i="1"/>
  <c r="AH20" i="1"/>
  <c r="AG20" i="1"/>
  <c r="P21" i="1"/>
  <c r="O21" i="1"/>
  <c r="AN21" i="1"/>
  <c r="AM21" i="1"/>
  <c r="W22" i="1"/>
  <c r="T22" i="1"/>
  <c r="X22" i="1"/>
  <c r="E23" i="1"/>
  <c r="C23" i="1"/>
  <c r="B23" i="1"/>
  <c r="AC23" i="1"/>
  <c r="AB23" i="1"/>
  <c r="AA23" i="1"/>
  <c r="K24" i="1"/>
  <c r="L24" i="1"/>
  <c r="J24" i="1"/>
  <c r="I24" i="1"/>
  <c r="AI24" i="1"/>
  <c r="AF24" i="1"/>
  <c r="AJ24" i="1"/>
  <c r="AH24" i="1"/>
  <c r="Q25" i="1"/>
  <c r="O25" i="1"/>
  <c r="N25" i="1"/>
  <c r="R25" i="1"/>
  <c r="AO25" i="1"/>
  <c r="AN25" i="1"/>
  <c r="AM25" i="1"/>
  <c r="AL25" i="1"/>
  <c r="W26" i="1"/>
  <c r="X26" i="1"/>
  <c r="V26" i="1"/>
  <c r="U26" i="1"/>
  <c r="E27" i="1"/>
  <c r="B27" i="1"/>
  <c r="F27" i="1"/>
  <c r="D27" i="1"/>
  <c r="AC27" i="1"/>
  <c r="AA27" i="1"/>
  <c r="Z27" i="1"/>
  <c r="AD27" i="1"/>
  <c r="K28" i="1"/>
  <c r="J28" i="1"/>
  <c r="I28" i="1"/>
  <c r="H28" i="1"/>
  <c r="AI28" i="1"/>
  <c r="AJ28" i="1"/>
  <c r="AH28" i="1"/>
  <c r="AG28" i="1"/>
  <c r="Q29" i="1"/>
  <c r="N29" i="1"/>
  <c r="R29" i="1"/>
  <c r="P29" i="1"/>
  <c r="AO29" i="1"/>
  <c r="AM29" i="1"/>
  <c r="AL29" i="1"/>
  <c r="AP29" i="1"/>
  <c r="W30" i="1"/>
  <c r="V30" i="1"/>
  <c r="U30" i="1"/>
  <c r="T30" i="1"/>
  <c r="F31" i="1"/>
  <c r="B31" i="1"/>
  <c r="E31" i="1"/>
  <c r="D31" i="1"/>
  <c r="C31" i="1"/>
  <c r="AD31" i="1"/>
  <c r="Z31" i="1"/>
  <c r="AC31" i="1"/>
  <c r="AB31" i="1"/>
  <c r="C18" i="1"/>
  <c r="H18" i="1"/>
  <c r="L18" i="1"/>
  <c r="Q18" i="1"/>
  <c r="V18" i="1"/>
  <c r="AA18" i="1"/>
  <c r="AF18" i="1"/>
  <c r="AJ18" i="1"/>
  <c r="AO18" i="1"/>
  <c r="D19" i="1"/>
  <c r="I19" i="1"/>
  <c r="N19" i="1"/>
  <c r="R19" i="1"/>
  <c r="W19" i="1"/>
  <c r="AD19" i="1"/>
  <c r="H20" i="1"/>
  <c r="AA20" i="1"/>
  <c r="AJ20" i="1"/>
  <c r="N21" i="1"/>
  <c r="AG21" i="1"/>
  <c r="AP21" i="1"/>
  <c r="V22" i="1"/>
  <c r="F23" i="1"/>
  <c r="AM26" i="1"/>
  <c r="AF28" i="1"/>
  <c r="O29" i="1"/>
  <c r="AN29" i="1"/>
  <c r="X30" i="1"/>
  <c r="K21" i="1"/>
  <c r="J21" i="1"/>
  <c r="AP22" i="1"/>
  <c r="AL22" i="1"/>
  <c r="AM22" i="1"/>
  <c r="AD24" i="1"/>
  <c r="Z24" i="1"/>
  <c r="AC24" i="1"/>
  <c r="AB24" i="1"/>
  <c r="R26" i="1"/>
  <c r="N26" i="1"/>
  <c r="Q26" i="1"/>
  <c r="P26" i="1"/>
  <c r="O26" i="1"/>
  <c r="F28" i="1"/>
  <c r="B28" i="1"/>
  <c r="D28" i="1"/>
  <c r="C28" i="1"/>
  <c r="AJ29" i="1"/>
  <c r="AF29" i="1"/>
  <c r="AG29" i="1"/>
  <c r="AI29" i="1"/>
  <c r="AM30" i="1"/>
  <c r="AP30" i="1"/>
  <c r="AL30" i="1"/>
  <c r="AO30" i="1"/>
  <c r="P18" i="1"/>
  <c r="AN18" i="1"/>
  <c r="F20" i="1"/>
  <c r="AF21" i="1"/>
  <c r="AG19" i="1"/>
  <c r="AJ19" i="1"/>
  <c r="AF19" i="1"/>
  <c r="O20" i="1"/>
  <c r="R20" i="1"/>
  <c r="N20" i="1"/>
  <c r="AM20" i="1"/>
  <c r="AP20" i="1"/>
  <c r="AL20" i="1"/>
  <c r="U21" i="1"/>
  <c r="X21" i="1"/>
  <c r="T21" i="1"/>
  <c r="C22" i="1"/>
  <c r="F22" i="1"/>
  <c r="B22" i="1"/>
  <c r="AB22" i="1"/>
  <c r="Z22" i="1"/>
  <c r="AD22" i="1"/>
  <c r="J23" i="1"/>
  <c r="I23" i="1"/>
  <c r="H23" i="1"/>
  <c r="AH23" i="1"/>
  <c r="AI23" i="1"/>
  <c r="AG23" i="1"/>
  <c r="AF23" i="1"/>
  <c r="P24" i="1"/>
  <c r="R24" i="1"/>
  <c r="Q24" i="1"/>
  <c r="O24" i="1"/>
  <c r="AN24" i="1"/>
  <c r="AL24" i="1"/>
  <c r="AP24" i="1"/>
  <c r="AO24" i="1"/>
  <c r="V25" i="1"/>
  <c r="U25" i="1"/>
  <c r="T25" i="1"/>
  <c r="X25" i="1"/>
  <c r="D26" i="1"/>
  <c r="E26" i="1"/>
  <c r="C26" i="1"/>
  <c r="B26" i="1"/>
  <c r="AB26" i="1"/>
  <c r="AD26" i="1"/>
  <c r="AC26" i="1"/>
  <c r="AA26" i="1"/>
  <c r="J27" i="1"/>
  <c r="H27" i="1"/>
  <c r="L27" i="1"/>
  <c r="K27" i="1"/>
  <c r="AH27" i="1"/>
  <c r="AG27" i="1"/>
  <c r="AF27" i="1"/>
  <c r="AJ27" i="1"/>
  <c r="P28" i="1"/>
  <c r="Q28" i="1"/>
  <c r="O28" i="1"/>
  <c r="N28" i="1"/>
  <c r="AN28" i="1"/>
  <c r="AP28" i="1"/>
  <c r="AO28" i="1"/>
  <c r="AM28" i="1"/>
  <c r="V29" i="1"/>
  <c r="T29" i="1"/>
  <c r="X29" i="1"/>
  <c r="W29" i="1"/>
  <c r="D30" i="1"/>
  <c r="C30" i="1"/>
  <c r="B30" i="1"/>
  <c r="F30" i="1"/>
  <c r="AB30" i="1"/>
  <c r="AC30" i="1"/>
  <c r="AA30" i="1"/>
  <c r="Z30" i="1"/>
  <c r="K31" i="1"/>
  <c r="J31" i="1"/>
  <c r="L31" i="1"/>
  <c r="I31" i="1"/>
  <c r="AI31" i="1"/>
  <c r="AH31" i="1"/>
  <c r="AG31" i="1"/>
  <c r="AF31" i="1"/>
  <c r="D18" i="1"/>
  <c r="I18" i="1"/>
  <c r="N18" i="1"/>
  <c r="R18" i="1"/>
  <c r="W18" i="1"/>
  <c r="AB18" i="1"/>
  <c r="AG18" i="1"/>
  <c r="AL18" i="1"/>
  <c r="AP18" i="1"/>
  <c r="E19" i="1"/>
  <c r="J19" i="1"/>
  <c r="O19" i="1"/>
  <c r="T19" i="1"/>
  <c r="X19" i="1"/>
  <c r="AH19" i="1"/>
  <c r="B20" i="1"/>
  <c r="K20" i="1"/>
  <c r="AN20" i="1"/>
  <c r="H21" i="1"/>
  <c r="Q21" i="1"/>
  <c r="AJ21" i="1"/>
  <c r="D22" i="1"/>
  <c r="AA22" i="1"/>
  <c r="AN22" i="1"/>
  <c r="K23" i="1"/>
  <c r="W23" i="1"/>
  <c r="AA24" i="1"/>
  <c r="J25" i="1"/>
  <c r="T26" i="1"/>
  <c r="C27" i="1"/>
  <c r="AB27" i="1"/>
  <c r="L28" i="1"/>
  <c r="AL28" i="1"/>
  <c r="U29" i="1"/>
  <c r="E30" i="1"/>
  <c r="AD30" i="1"/>
  <c r="AA31" i="1"/>
  <c r="AC20" i="1"/>
  <c r="AB20" i="1"/>
  <c r="R22" i="1"/>
  <c r="N22" i="1"/>
  <c r="Q22" i="1"/>
  <c r="F24" i="1"/>
  <c r="B24" i="1"/>
  <c r="E24" i="1"/>
  <c r="D24" i="1"/>
  <c r="C24" i="1"/>
  <c r="AJ25" i="1"/>
  <c r="AF25" i="1"/>
  <c r="AH25" i="1"/>
  <c r="AG25" i="1"/>
  <c r="X27" i="1"/>
  <c r="T27" i="1"/>
  <c r="U27" i="1"/>
  <c r="W27" i="1"/>
  <c r="L29" i="1"/>
  <c r="H29" i="1"/>
  <c r="K29" i="1"/>
  <c r="J29" i="1"/>
  <c r="R30" i="1"/>
  <c r="N30" i="1"/>
  <c r="P30" i="1"/>
  <c r="O30" i="1"/>
  <c r="V19" i="1"/>
  <c r="L21" i="1"/>
  <c r="AP19" i="1"/>
  <c r="AL19" i="1"/>
  <c r="AO19" i="1"/>
  <c r="X20" i="1"/>
  <c r="T20" i="1"/>
  <c r="W20" i="1"/>
  <c r="F21" i="1"/>
  <c r="B21" i="1"/>
  <c r="E21" i="1"/>
  <c r="AD21" i="1"/>
  <c r="Z21" i="1"/>
  <c r="AC21" i="1"/>
  <c r="L22" i="1"/>
  <c r="H22" i="1"/>
  <c r="K22" i="1"/>
  <c r="AG22" i="1"/>
  <c r="AF22" i="1"/>
  <c r="AJ22" i="1"/>
  <c r="O23" i="1"/>
  <c r="P23" i="1"/>
  <c r="N23" i="1"/>
  <c r="AM23" i="1"/>
  <c r="AO23" i="1"/>
  <c r="AN23" i="1"/>
  <c r="AL23" i="1"/>
  <c r="U24" i="1"/>
  <c r="X24" i="1"/>
  <c r="W24" i="1"/>
  <c r="V24" i="1"/>
  <c r="C25" i="1"/>
  <c r="B25" i="1"/>
  <c r="F25" i="1"/>
  <c r="E25" i="1"/>
  <c r="AA25" i="1"/>
  <c r="AB25" i="1"/>
  <c r="Z25" i="1"/>
  <c r="AD25" i="1"/>
  <c r="I26" i="1"/>
  <c r="K26" i="1"/>
  <c r="J26" i="1"/>
  <c r="H26" i="1"/>
  <c r="AG26" i="1"/>
  <c r="AJ26" i="1"/>
  <c r="AI26" i="1"/>
  <c r="AH26" i="1"/>
  <c r="O27" i="1"/>
  <c r="N27" i="1"/>
  <c r="R27" i="1"/>
  <c r="Q27" i="1"/>
  <c r="AM27" i="1"/>
  <c r="AN27" i="1"/>
  <c r="AL27" i="1"/>
  <c r="AP27" i="1"/>
  <c r="U28" i="1"/>
  <c r="W28" i="1"/>
  <c r="V28" i="1"/>
  <c r="T28" i="1"/>
  <c r="C29" i="1"/>
  <c r="F29" i="1"/>
  <c r="E29" i="1"/>
  <c r="D29" i="1"/>
  <c r="AA29" i="1"/>
  <c r="Z29" i="1"/>
  <c r="AD29" i="1"/>
  <c r="AC29" i="1"/>
  <c r="I30" i="1"/>
  <c r="J30" i="1"/>
  <c r="H30" i="1"/>
  <c r="L30" i="1"/>
  <c r="AH30" i="1"/>
  <c r="AG30" i="1"/>
  <c r="AJ30" i="1"/>
  <c r="AI30" i="1"/>
  <c r="AF30" i="1"/>
  <c r="P31" i="1"/>
  <c r="O31" i="1"/>
  <c r="N31" i="1"/>
  <c r="R31" i="1"/>
  <c r="AN31" i="1"/>
  <c r="AM31" i="1"/>
  <c r="AP31" i="1"/>
  <c r="AO31" i="1"/>
  <c r="AL31" i="1"/>
  <c r="T18" i="1"/>
  <c r="B19" i="1"/>
  <c r="Z19" i="1"/>
  <c r="AI19" i="1"/>
  <c r="C20" i="1"/>
  <c r="L20" i="1"/>
  <c r="V20" i="1"/>
  <c r="AF20" i="1"/>
  <c r="AO20" i="1"/>
  <c r="I21" i="1"/>
  <c r="R21" i="1"/>
  <c r="AB21" i="1"/>
  <c r="AL21" i="1"/>
  <c r="E22" i="1"/>
  <c r="P22" i="1"/>
  <c r="AC22" i="1"/>
  <c r="AO22" i="1"/>
  <c r="L23" i="1"/>
  <c r="Z23" i="1"/>
  <c r="H24" i="1"/>
  <c r="AG24" i="1"/>
  <c r="P25" i="1"/>
  <c r="AP25" i="1"/>
  <c r="Z26" i="1"/>
  <c r="I27" i="1"/>
  <c r="AI27" i="1"/>
  <c r="R28" i="1"/>
  <c r="B29" i="1"/>
  <c r="AB29" i="1"/>
  <c r="K30" i="1"/>
  <c r="AN30" i="1"/>
  <c r="AJ31" i="1"/>
</calcChain>
</file>

<file path=xl/sharedStrings.xml><?xml version="1.0" encoding="utf-8"?>
<sst xmlns="http://schemas.openxmlformats.org/spreadsheetml/2006/main" count="189" uniqueCount="69">
  <si>
    <t>Kabkot</t>
  </si>
  <si>
    <t>Y 2018</t>
  </si>
  <si>
    <t>Y 2019</t>
  </si>
  <si>
    <t>Y 2020</t>
  </si>
  <si>
    <t>Y 2021</t>
  </si>
  <si>
    <t>Y 2022</t>
  </si>
  <si>
    <t>X1 2018</t>
  </si>
  <si>
    <t>X1 2019</t>
  </si>
  <si>
    <t>X1 2020</t>
  </si>
  <si>
    <t>X1 2021</t>
  </si>
  <si>
    <t>X1 2022</t>
  </si>
  <si>
    <t>X2 2018</t>
  </si>
  <si>
    <t>X2 2019</t>
  </si>
  <si>
    <t>X2 2020</t>
  </si>
  <si>
    <t>X2 2021</t>
  </si>
  <si>
    <t>X2 2022</t>
  </si>
  <si>
    <t>X3 2018</t>
  </si>
  <si>
    <t>X3 2019</t>
  </si>
  <si>
    <t>X3 2020</t>
  </si>
  <si>
    <t>X3 2021</t>
  </si>
  <si>
    <t>X3 2022</t>
  </si>
  <si>
    <t>X4 2018</t>
  </si>
  <si>
    <t>X4 2019</t>
  </si>
  <si>
    <t>X4 2020</t>
  </si>
  <si>
    <t>X4 2021</t>
  </si>
  <si>
    <t>X4 2022</t>
  </si>
  <si>
    <t>X5 2018</t>
  </si>
  <si>
    <t>X5 2019</t>
  </si>
  <si>
    <t>X5 2020</t>
  </si>
  <si>
    <t>X5 2021</t>
  </si>
  <si>
    <t>X5 2022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</si>
  <si>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</si>
  <si>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</si>
  <si>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</si>
  <si>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</si>
  <si>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</si>
  <si>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</si>
  <si>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</si>
  <si>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</si>
  <si>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</si>
  <si>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</si>
  <si>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</si>
  <si>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</si>
  <si>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</si>
  <si>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</si>
  <si>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RATAAN Y</t>
  </si>
  <si>
    <t>RATAAN X2</t>
  </si>
  <si>
    <t>RATAAN X3</t>
  </si>
  <si>
    <t>RATAAN X1</t>
  </si>
  <si>
    <t>RATAAN X5</t>
  </si>
  <si>
    <t>RATAAN X4</t>
  </si>
  <si>
    <t>ID</t>
  </si>
  <si>
    <t>Tahun</t>
  </si>
  <si>
    <t>Y</t>
  </si>
  <si>
    <t>X1</t>
  </si>
  <si>
    <t>X2</t>
  </si>
  <si>
    <t>X3</t>
  </si>
  <si>
    <t>X4</t>
  </si>
  <si>
    <t>X5</t>
  </si>
  <si>
    <t>X6 2018</t>
  </si>
  <si>
    <t>X6 2019</t>
  </si>
  <si>
    <t>X6 2020</t>
  </si>
  <si>
    <t>X6 2021</t>
  </si>
  <si>
    <t>X6 2022</t>
  </si>
  <si>
    <t>RATAAN X6</t>
  </si>
  <si>
    <t>X6</t>
  </si>
  <si>
    <t>Kab/kota</t>
  </si>
  <si>
    <t>Long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</si>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</sst>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2" fontId="0" fillId="0" borderId="0" xfId="0" applyNumberFormat="1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right" vertical="center"/>
    </xf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2" fontId="1" fillId="2" borderId="0" xfId="0" applyNumberFormat="1" applyFont="1" applyFill="1" applyAlignment="1">
      <alignment horizontal="right" vertical="center"/>
    </xf>
    <xf numFmtId="0" fontId="1" fillId="0" borderId="0" xfId="0" applyFont="1" applyAlignment="1">
      <alignment vertical="center"/>
    </xf>
    <xf numFmtId="164" fontId="0" fillId="0" borderId="0" xfId="0" applyNumberFormat="1"/>
    <xf numFmtId="164" fontId="0" fillId="2" borderId="0" xfId="0" applyNumberFormat="1" applyFill="1" applyAlignment="1">
      <alignment horizontal="righ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A505-16DA-43D1-B594-FF33B2287044}">
  <dimension ref="A1:AQ32"/>
  <sheetViews>
    <sheetView tabSelected="1" topLeftCell="W13" zoomScale="87" workbookViewId="0">
      <selection activeCell="AB27" sqref="AB27"/>
    </sheetView>
  </sheetViews>
  <sheetFormatPr defaultRowHeight="14.5" x14ac:dyDescent="0.35"/>
  <cols>
    <col min="1" max="1" width="14.81640625" bestFit="1" customWidth="1"/>
    <col min="2" max="6" width="8.6328125" customWidth="1"/>
    <col min="7" max="7" width="9.1796875" style="15" bestFit="1" customWidth="1"/>
    <col min="8" max="12" width="8.6328125" style="15" customWidth="1"/>
    <col min="13" max="13" width="10.1796875" style="15" bestFit="1" customWidth="1"/>
    <col min="14" max="18" width="8.6328125" style="15" customWidth="1"/>
    <col min="19" max="19" width="10.1796875" style="15" bestFit="1" customWidth="1"/>
    <col min="20" max="24" width="8.6328125" style="15" customWidth="1"/>
    <col min="25" max="25" width="10.1796875" style="15" bestFit="1" customWidth="1"/>
    <col min="26" max="30" width="8.6328125" style="15" customWidth="1"/>
    <col min="31" max="31" width="10.1796875" style="15" customWidth="1"/>
    <col min="32" max="36" width="8.6328125" style="15" customWidth="1"/>
    <col min="37" max="37" width="10.1796875" style="15" bestFit="1" customWidth="1"/>
    <col min="38" max="42" width="8.6328125" style="15" customWidth="1"/>
    <col min="43" max="43" width="10.1796875" style="15" bestFit="1" customWidth="1"/>
    <col min="44" max="16384" width="8.7265625" style="15"/>
  </cols>
  <sheetData>
    <row r="1" spans="1:4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7" t="s">
        <v>48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7" t="s">
        <v>46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7" t="s">
        <v>47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7" t="s">
        <v>50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7" t="s">
        <v>49</v>
      </c>
      <c r="AL1" s="1" t="s">
        <v>59</v>
      </c>
      <c r="AM1" s="1" t="s">
        <v>60</v>
      </c>
      <c r="AN1" s="1" t="s">
        <v>61</v>
      </c>
      <c r="AO1" s="1" t="s">
        <v>62</v>
      </c>
      <c r="AP1" s="1" t="s">
        <v>63</v>
      </c>
      <c r="AQ1" s="7" t="s">
        <v>64</v>
      </c>
    </row>
    <row r="2" spans="1:43" customFormat="1" x14ac:dyDescent="0.35">
      <c r="A2" s="2" t="s">
        <v>31</v>
      </c>
      <c r="B2" s="4">
        <v>6.68</v>
      </c>
      <c r="C2" s="4">
        <v>6.7</v>
      </c>
      <c r="D2" s="4">
        <v>6.71</v>
      </c>
      <c r="E2" s="4">
        <v>6.72</v>
      </c>
      <c r="F2" s="4">
        <v>6.74</v>
      </c>
      <c r="G2" s="8">
        <f>AVERAGE(B2:F2)</f>
        <v>6.7099999999999991</v>
      </c>
      <c r="H2" s="5">
        <v>35.64</v>
      </c>
      <c r="I2" s="5">
        <v>38.32</v>
      </c>
      <c r="J2" s="5">
        <v>32.81</v>
      </c>
      <c r="K2" s="5">
        <v>34.950000000000003</v>
      </c>
      <c r="L2" s="5">
        <v>37.69</v>
      </c>
      <c r="M2" s="8">
        <f>AVERAGE(H2:L2)</f>
        <v>35.882000000000005</v>
      </c>
      <c r="N2" s="6">
        <v>56.952994462829643</v>
      </c>
      <c r="O2" s="6">
        <v>56.77</v>
      </c>
      <c r="P2" s="6">
        <v>48.34</v>
      </c>
      <c r="Q2" s="6">
        <v>48.19</v>
      </c>
      <c r="R2" s="6">
        <v>48.07</v>
      </c>
      <c r="S2" s="10">
        <f>AVERAGE(N2:R2)</f>
        <v>51.664598892565927</v>
      </c>
      <c r="T2" s="6">
        <v>91.660599590000004</v>
      </c>
      <c r="U2" s="6">
        <v>93.003724120000001</v>
      </c>
      <c r="V2" s="6">
        <v>91.614999999999995</v>
      </c>
      <c r="W2" s="6">
        <v>94.31</v>
      </c>
      <c r="X2" s="6">
        <v>93.61</v>
      </c>
      <c r="Y2" s="10">
        <f>AVERAGE(T2:X2)</f>
        <v>92.839864742000003</v>
      </c>
      <c r="Z2" s="3">
        <v>578</v>
      </c>
      <c r="AA2" s="3">
        <v>579</v>
      </c>
      <c r="AB2" s="3">
        <v>568</v>
      </c>
      <c r="AC2" s="3">
        <v>571</v>
      </c>
      <c r="AD2" s="3">
        <v>571</v>
      </c>
      <c r="AE2" s="14">
        <f>AVERAGE(Z2:AD2)</f>
        <v>573.4</v>
      </c>
      <c r="AF2" s="5">
        <v>18.170000000000002</v>
      </c>
      <c r="AG2" s="5">
        <v>17.38</v>
      </c>
      <c r="AH2" s="5">
        <v>17.7</v>
      </c>
      <c r="AI2" s="5">
        <v>19.170000000000002</v>
      </c>
      <c r="AJ2" s="5">
        <v>16.62</v>
      </c>
      <c r="AK2" s="11">
        <f>AVERAGE(AF2:AJ2)</f>
        <v>17.808</v>
      </c>
      <c r="AL2" s="6">
        <v>262.18</v>
      </c>
      <c r="AM2" s="6">
        <v>262.14999999999998</v>
      </c>
      <c r="AN2" s="6">
        <v>263.11</v>
      </c>
      <c r="AO2" s="6">
        <v>263.04000000000002</v>
      </c>
      <c r="AP2" s="6">
        <v>261.54000000000002</v>
      </c>
      <c r="AQ2" s="11">
        <f>AVERAGE(AL2:AP2)</f>
        <v>262.404</v>
      </c>
    </row>
    <row r="3" spans="1:43" customFormat="1" x14ac:dyDescent="0.35">
      <c r="A3" s="2" t="s">
        <v>32</v>
      </c>
      <c r="B3" s="4">
        <v>6.27</v>
      </c>
      <c r="C3" s="4">
        <v>6.53</v>
      </c>
      <c r="D3" s="4">
        <v>6.76</v>
      </c>
      <c r="E3" s="4">
        <v>6.8</v>
      </c>
      <c r="F3" s="4">
        <v>7</v>
      </c>
      <c r="G3" s="8">
        <f t="shared" ref="G3:G15" si="0">AVERAGE(B3:F3)</f>
        <v>6.6719999999999997</v>
      </c>
      <c r="H3" s="5">
        <v>31.83</v>
      </c>
      <c r="I3" s="5">
        <v>33.869999999999997</v>
      </c>
      <c r="J3" s="5">
        <v>30.29</v>
      </c>
      <c r="K3" s="5">
        <v>32.03</v>
      </c>
      <c r="L3" s="5">
        <v>34.78</v>
      </c>
      <c r="M3" s="8">
        <f t="shared" ref="M3:M15" si="1">AVERAGE(H3:L3)</f>
        <v>32.559999999999995</v>
      </c>
      <c r="N3" s="6">
        <v>54.281539868751416</v>
      </c>
      <c r="O3" s="6">
        <v>55.42</v>
      </c>
      <c r="P3" s="6">
        <v>46.28</v>
      </c>
      <c r="Q3" s="6">
        <v>46.11</v>
      </c>
      <c r="R3" s="6">
        <v>45.97</v>
      </c>
      <c r="S3" s="10">
        <f t="shared" ref="S3:S15" si="2">AVERAGE(N3:R3)</f>
        <v>49.612307973750276</v>
      </c>
      <c r="T3" s="6">
        <v>90.616516689999997</v>
      </c>
      <c r="U3" s="6">
        <v>93.123717920000004</v>
      </c>
      <c r="V3" s="6">
        <v>93.88</v>
      </c>
      <c r="W3" s="6">
        <v>92.93</v>
      </c>
      <c r="X3" s="6">
        <v>94.74</v>
      </c>
      <c r="Y3" s="10">
        <f t="shared" ref="Y3:Y15" si="3">AVERAGE(T3:X3)</f>
        <v>93.058046922000003</v>
      </c>
      <c r="Z3" s="3">
        <v>385</v>
      </c>
      <c r="AA3" s="3">
        <v>385</v>
      </c>
      <c r="AB3" s="3">
        <v>388</v>
      </c>
      <c r="AC3" s="3">
        <v>388</v>
      </c>
      <c r="AD3" s="3">
        <v>389</v>
      </c>
      <c r="AE3" s="14">
        <f t="shared" ref="AE3:AE15" si="4">AVERAGE(Z3:AD3)</f>
        <v>387</v>
      </c>
      <c r="AF3" s="5">
        <v>15.91</v>
      </c>
      <c r="AG3" s="5">
        <v>14.72</v>
      </c>
      <c r="AH3" s="5">
        <v>14.8</v>
      </c>
      <c r="AI3" s="5">
        <v>15.96</v>
      </c>
      <c r="AJ3" s="5">
        <v>14.28</v>
      </c>
      <c r="AK3" s="11">
        <f t="shared" ref="AK3:AK15" si="5">AVERAGE(AF3:AJ3)</f>
        <v>15.134</v>
      </c>
      <c r="AL3" s="6">
        <v>262.60000000000002</v>
      </c>
      <c r="AM3" s="6">
        <v>262.17</v>
      </c>
      <c r="AN3" s="6">
        <v>263.82</v>
      </c>
      <c r="AO3" s="6">
        <v>267.28000000000003</v>
      </c>
      <c r="AP3" s="6">
        <v>266.79000000000002</v>
      </c>
      <c r="AQ3" s="11">
        <f t="shared" ref="AQ3:AQ15" si="6">AVERAGE(AL3:AP3)</f>
        <v>264.53199999999998</v>
      </c>
    </row>
    <row r="4" spans="1:43" customFormat="1" x14ac:dyDescent="0.35">
      <c r="A4" s="2" t="s">
        <v>33</v>
      </c>
      <c r="B4" s="4">
        <v>7.09</v>
      </c>
      <c r="C4" s="4">
        <v>7.1</v>
      </c>
      <c r="D4" s="4">
        <v>7.11</v>
      </c>
      <c r="E4" s="4">
        <v>7.12</v>
      </c>
      <c r="F4" s="4">
        <v>7.15</v>
      </c>
      <c r="G4" s="8">
        <f t="shared" si="0"/>
        <v>7.1139999999999999</v>
      </c>
      <c r="H4" s="5">
        <v>26.18</v>
      </c>
      <c r="I4" s="5">
        <v>27.95</v>
      </c>
      <c r="J4" s="5">
        <v>27.01</v>
      </c>
      <c r="K4" s="5">
        <v>28.96</v>
      </c>
      <c r="L4" s="5">
        <v>31.51</v>
      </c>
      <c r="M4" s="8">
        <f t="shared" si="1"/>
        <v>28.321999999999996</v>
      </c>
      <c r="N4" s="6">
        <v>51.54469362356329</v>
      </c>
      <c r="O4" s="6">
        <v>56.2</v>
      </c>
      <c r="P4" s="6">
        <v>45.25</v>
      </c>
      <c r="Q4" s="6">
        <v>45.08</v>
      </c>
      <c r="R4" s="6">
        <v>44.93</v>
      </c>
      <c r="S4" s="10">
        <f t="shared" si="2"/>
        <v>48.600938724712663</v>
      </c>
      <c r="T4" s="6">
        <v>92.690220530000005</v>
      </c>
      <c r="U4" s="6">
        <v>93.629983039999999</v>
      </c>
      <c r="V4" s="6">
        <v>92.635999999999996</v>
      </c>
      <c r="W4" s="6">
        <v>92.93</v>
      </c>
      <c r="X4" s="6">
        <v>93.04</v>
      </c>
      <c r="Y4" s="10">
        <f t="shared" si="3"/>
        <v>92.985240714</v>
      </c>
      <c r="Z4" s="3">
        <v>607</v>
      </c>
      <c r="AA4" s="3">
        <v>607</v>
      </c>
      <c r="AB4" s="3">
        <v>598</v>
      </c>
      <c r="AC4" s="3">
        <v>599</v>
      </c>
      <c r="AD4" s="3">
        <v>600</v>
      </c>
      <c r="AE4" s="14">
        <f t="shared" si="4"/>
        <v>602.20000000000005</v>
      </c>
      <c r="AF4" s="5">
        <v>17.100000000000001</v>
      </c>
      <c r="AG4" s="5">
        <v>15.83</v>
      </c>
      <c r="AH4" s="5">
        <v>16.739999999999998</v>
      </c>
      <c r="AI4" s="5">
        <v>16.66</v>
      </c>
      <c r="AJ4" s="5">
        <v>14.51</v>
      </c>
      <c r="AK4" s="11">
        <f t="shared" si="5"/>
        <v>16.167999999999999</v>
      </c>
      <c r="AL4" s="6">
        <v>264.7</v>
      </c>
      <c r="AM4" s="6">
        <v>265.58</v>
      </c>
      <c r="AN4" s="6">
        <v>264.83</v>
      </c>
      <c r="AO4" s="6">
        <v>266.42</v>
      </c>
      <c r="AP4" s="6">
        <v>267.43</v>
      </c>
      <c r="AQ4" s="11">
        <f t="shared" si="6"/>
        <v>265.79200000000003</v>
      </c>
    </row>
    <row r="5" spans="1:43" customFormat="1" x14ac:dyDescent="0.35">
      <c r="A5" s="2" t="s">
        <v>34</v>
      </c>
      <c r="B5" s="4">
        <v>6.63</v>
      </c>
      <c r="C5" s="4">
        <v>6.82</v>
      </c>
      <c r="D5" s="4">
        <v>7.03</v>
      </c>
      <c r="E5" s="4">
        <v>7.04</v>
      </c>
      <c r="F5" s="4">
        <v>7.17</v>
      </c>
      <c r="G5" s="8">
        <f t="shared" si="0"/>
        <v>6.9379999999999997</v>
      </c>
      <c r="H5" s="5">
        <v>29.1</v>
      </c>
      <c r="I5" s="5">
        <v>31.41</v>
      </c>
      <c r="J5" s="5">
        <v>28.34</v>
      </c>
      <c r="K5" s="5">
        <v>29.72</v>
      </c>
      <c r="L5" s="5">
        <v>32.020000000000003</v>
      </c>
      <c r="M5" s="8">
        <f t="shared" si="1"/>
        <v>30.118000000000002</v>
      </c>
      <c r="N5" s="6">
        <v>53.281515809233291</v>
      </c>
      <c r="O5" s="6">
        <v>52.12</v>
      </c>
      <c r="P5" s="6">
        <v>45.49</v>
      </c>
      <c r="Q5" s="6">
        <v>45.43</v>
      </c>
      <c r="R5" s="6">
        <v>45.39</v>
      </c>
      <c r="S5" s="10">
        <f t="shared" si="2"/>
        <v>48.342303161846658</v>
      </c>
      <c r="T5" s="6">
        <v>92.274451819999996</v>
      </c>
      <c r="U5" s="6">
        <v>91.669871380000004</v>
      </c>
      <c r="V5" s="6">
        <v>93.566999999999993</v>
      </c>
      <c r="W5" s="6">
        <v>92.48</v>
      </c>
      <c r="X5" s="6">
        <v>92.74</v>
      </c>
      <c r="Y5" s="10">
        <f t="shared" si="3"/>
        <v>92.546264640000004</v>
      </c>
      <c r="Z5" s="3">
        <v>250</v>
      </c>
      <c r="AA5" s="3">
        <v>251</v>
      </c>
      <c r="AB5" s="3">
        <v>251</v>
      </c>
      <c r="AC5" s="3">
        <v>248</v>
      </c>
      <c r="AD5" s="3">
        <v>249</v>
      </c>
      <c r="AE5" s="14">
        <f t="shared" si="4"/>
        <v>249.8</v>
      </c>
      <c r="AF5" s="5">
        <v>15.19</v>
      </c>
      <c r="AG5" s="5">
        <v>14.77</v>
      </c>
      <c r="AH5" s="5">
        <v>14.01</v>
      </c>
      <c r="AI5" s="5">
        <v>15.45</v>
      </c>
      <c r="AJ5" s="5">
        <v>13.88</v>
      </c>
      <c r="AK5" s="11">
        <f t="shared" si="5"/>
        <v>14.66</v>
      </c>
      <c r="AL5" s="6">
        <v>264.37</v>
      </c>
      <c r="AM5" s="6">
        <v>263.04999999999995</v>
      </c>
      <c r="AN5" s="6">
        <v>244.18</v>
      </c>
      <c r="AO5" s="6">
        <v>264.85000000000002</v>
      </c>
      <c r="AP5" s="6">
        <v>263.84000000000003</v>
      </c>
      <c r="AQ5" s="11">
        <f t="shared" si="6"/>
        <v>260.05799999999999</v>
      </c>
    </row>
    <row r="6" spans="1:43" customFormat="1" x14ac:dyDescent="0.35">
      <c r="A6" s="2" t="s">
        <v>35</v>
      </c>
      <c r="B6" s="4">
        <v>6.94</v>
      </c>
      <c r="C6" s="4">
        <v>6.95</v>
      </c>
      <c r="D6" s="4">
        <v>7.15</v>
      </c>
      <c r="E6" s="4">
        <v>7.39</v>
      </c>
      <c r="F6" s="4">
        <v>7.41</v>
      </c>
      <c r="G6" s="8">
        <f t="shared" si="0"/>
        <v>7.168000000000001</v>
      </c>
      <c r="H6" s="5">
        <v>39.049999999999997</v>
      </c>
      <c r="I6" s="5">
        <v>40.74</v>
      </c>
      <c r="J6" s="5">
        <v>41.09</v>
      </c>
      <c r="K6" s="5">
        <v>44.38</v>
      </c>
      <c r="L6" s="5">
        <v>48.37</v>
      </c>
      <c r="M6" s="8">
        <f t="shared" si="1"/>
        <v>42.725999999999999</v>
      </c>
      <c r="N6" s="6">
        <v>46.781836817330571</v>
      </c>
      <c r="O6" s="6">
        <v>46.49</v>
      </c>
      <c r="P6" s="6">
        <v>41.73</v>
      </c>
      <c r="Q6" s="6">
        <v>41.54</v>
      </c>
      <c r="R6" s="6">
        <v>41.39</v>
      </c>
      <c r="S6" s="10">
        <f t="shared" si="2"/>
        <v>43.586367363466117</v>
      </c>
      <c r="T6" s="6">
        <v>91.654508579999998</v>
      </c>
      <c r="U6" s="6">
        <v>91.634140450000004</v>
      </c>
      <c r="V6" s="6">
        <v>94.986999999999995</v>
      </c>
      <c r="W6" s="6">
        <v>93.34</v>
      </c>
      <c r="X6" s="6">
        <v>93.34</v>
      </c>
      <c r="Y6" s="10">
        <f t="shared" si="3"/>
        <v>92.991129806000004</v>
      </c>
      <c r="Z6" s="3">
        <v>628</v>
      </c>
      <c r="AA6" s="3">
        <v>628</v>
      </c>
      <c r="AB6" s="3">
        <v>626</v>
      </c>
      <c r="AC6" s="3">
        <v>627</v>
      </c>
      <c r="AD6" s="3">
        <v>628</v>
      </c>
      <c r="AE6" s="14">
        <f t="shared" si="4"/>
        <v>627.4</v>
      </c>
      <c r="AF6" s="5">
        <v>16.96</v>
      </c>
      <c r="AG6" s="5">
        <v>15.4</v>
      </c>
      <c r="AH6" s="5">
        <v>14.92</v>
      </c>
      <c r="AI6" s="5">
        <v>17</v>
      </c>
      <c r="AJ6" s="5">
        <v>14.53</v>
      </c>
      <c r="AK6" s="11">
        <f t="shared" si="5"/>
        <v>15.762</v>
      </c>
      <c r="AL6" s="6">
        <v>244.36</v>
      </c>
      <c r="AM6" s="6">
        <v>244.22000000000003</v>
      </c>
      <c r="AN6" s="6">
        <v>257.41999999999996</v>
      </c>
      <c r="AO6" s="6">
        <v>244.12</v>
      </c>
      <c r="AP6" s="6">
        <v>245.98999999999998</v>
      </c>
      <c r="AQ6" s="11">
        <f t="shared" si="6"/>
        <v>247.22199999999998</v>
      </c>
    </row>
    <row r="7" spans="1:43" customFormat="1" x14ac:dyDescent="0.35">
      <c r="A7" s="2" t="s">
        <v>36</v>
      </c>
      <c r="B7" s="4">
        <v>7.04</v>
      </c>
      <c r="C7" s="4">
        <v>7.26</v>
      </c>
      <c r="D7" s="4">
        <v>7.31</v>
      </c>
      <c r="E7" s="4">
        <v>7.46</v>
      </c>
      <c r="F7" s="4">
        <v>7.48</v>
      </c>
      <c r="G7" s="8">
        <f t="shared" si="0"/>
        <v>7.31</v>
      </c>
      <c r="H7" s="5">
        <v>49.6</v>
      </c>
      <c r="I7" s="5">
        <v>53.61</v>
      </c>
      <c r="J7" s="5">
        <v>49.25</v>
      </c>
      <c r="K7" s="5">
        <v>53.3</v>
      </c>
      <c r="L7" s="5">
        <v>57.97</v>
      </c>
      <c r="M7" s="8">
        <f t="shared" si="1"/>
        <v>52.746000000000002</v>
      </c>
      <c r="N7" s="6">
        <v>49.05481817966735</v>
      </c>
      <c r="O7" s="6">
        <v>45.78</v>
      </c>
      <c r="P7" s="6">
        <v>40.85</v>
      </c>
      <c r="Q7" s="6">
        <v>40.67</v>
      </c>
      <c r="R7" s="6">
        <v>40.520000000000003</v>
      </c>
      <c r="S7" s="10">
        <f t="shared" si="2"/>
        <v>43.374963635933469</v>
      </c>
      <c r="T7" s="6">
        <v>93.244687470000002</v>
      </c>
      <c r="U7" s="6">
        <v>95.159381589999995</v>
      </c>
      <c r="V7" s="6">
        <v>95.406999999999996</v>
      </c>
      <c r="W7" s="6">
        <v>94.08</v>
      </c>
      <c r="X7" s="6">
        <v>95.52</v>
      </c>
      <c r="Y7" s="10">
        <f t="shared" si="3"/>
        <v>94.682213811999986</v>
      </c>
      <c r="Z7" s="3">
        <v>708</v>
      </c>
      <c r="AA7" s="3">
        <v>709</v>
      </c>
      <c r="AB7" s="3">
        <v>715</v>
      </c>
      <c r="AC7" s="3">
        <v>724</v>
      </c>
      <c r="AD7" s="3">
        <v>731</v>
      </c>
      <c r="AE7" s="14">
        <f t="shared" si="4"/>
        <v>717.4</v>
      </c>
      <c r="AF7" s="5">
        <v>15.42</v>
      </c>
      <c r="AG7" s="5">
        <v>14.11</v>
      </c>
      <c r="AH7" s="5">
        <v>13.16</v>
      </c>
      <c r="AI7" s="5">
        <v>14.1</v>
      </c>
      <c r="AJ7" s="5">
        <v>12.69</v>
      </c>
      <c r="AK7" s="11">
        <f t="shared" si="5"/>
        <v>13.896000000000001</v>
      </c>
      <c r="AL7" s="6">
        <v>255.26999999999998</v>
      </c>
      <c r="AM7" s="6">
        <v>255.09</v>
      </c>
      <c r="AN7" s="6">
        <v>245.99</v>
      </c>
      <c r="AO7" s="6">
        <v>257.01</v>
      </c>
      <c r="AP7" s="6">
        <v>256.27999999999997</v>
      </c>
      <c r="AQ7" s="11">
        <f t="shared" si="6"/>
        <v>253.92799999999997</v>
      </c>
    </row>
    <row r="8" spans="1:43" customFormat="1" x14ac:dyDescent="0.35">
      <c r="A8" s="2" t="s">
        <v>37</v>
      </c>
      <c r="B8" s="4">
        <v>6.73</v>
      </c>
      <c r="C8" s="4">
        <v>6.89</v>
      </c>
      <c r="D8" s="4">
        <v>7.07</v>
      </c>
      <c r="E8" s="4">
        <v>7.08</v>
      </c>
      <c r="F8" s="4">
        <v>7.36</v>
      </c>
      <c r="G8" s="8">
        <f t="shared" si="0"/>
        <v>7.0260000000000007</v>
      </c>
      <c r="H8" s="5">
        <v>32.39</v>
      </c>
      <c r="I8" s="5">
        <v>35.06</v>
      </c>
      <c r="J8" s="5">
        <v>34.92</v>
      </c>
      <c r="K8" s="5">
        <v>37.17</v>
      </c>
      <c r="L8" s="5">
        <v>40.64</v>
      </c>
      <c r="M8" s="8">
        <f t="shared" si="1"/>
        <v>36.036000000000001</v>
      </c>
      <c r="N8" s="6">
        <v>50.763355994514633</v>
      </c>
      <c r="O8" s="6">
        <v>50.43</v>
      </c>
      <c r="P8" s="6">
        <v>46.37</v>
      </c>
      <c r="Q8" s="6">
        <v>46.19</v>
      </c>
      <c r="R8" s="6">
        <v>46.03</v>
      </c>
      <c r="S8" s="10">
        <f t="shared" si="2"/>
        <v>47.956671198902924</v>
      </c>
      <c r="T8" s="6">
        <v>91.582428879999995</v>
      </c>
      <c r="U8" s="6">
        <v>93.437004540000004</v>
      </c>
      <c r="V8" s="6">
        <v>92.819000000000003</v>
      </c>
      <c r="W8" s="6">
        <v>89.98</v>
      </c>
      <c r="X8" s="6">
        <v>92.18</v>
      </c>
      <c r="Y8" s="10">
        <f t="shared" si="3"/>
        <v>91.999686684000011</v>
      </c>
      <c r="Z8" s="3">
        <v>599</v>
      </c>
      <c r="AA8" s="3">
        <v>600</v>
      </c>
      <c r="AB8" s="3">
        <v>604</v>
      </c>
      <c r="AC8" s="3">
        <v>614</v>
      </c>
      <c r="AD8" s="3">
        <v>621</v>
      </c>
      <c r="AE8" s="14">
        <f t="shared" si="4"/>
        <v>607.6</v>
      </c>
      <c r="AF8" s="5">
        <v>17.7</v>
      </c>
      <c r="AG8" s="5">
        <v>16.2</v>
      </c>
      <c r="AH8" s="5">
        <v>15.12</v>
      </c>
      <c r="AI8" s="5">
        <v>16.46</v>
      </c>
      <c r="AJ8" s="5">
        <v>14.32</v>
      </c>
      <c r="AK8" s="11">
        <f t="shared" si="5"/>
        <v>15.959999999999997</v>
      </c>
      <c r="AL8" s="6">
        <v>247.94</v>
      </c>
      <c r="AM8" s="6">
        <v>244.91</v>
      </c>
      <c r="AN8" s="6">
        <v>258.73</v>
      </c>
      <c r="AO8" s="6">
        <v>248.85000000000002</v>
      </c>
      <c r="AP8" s="6">
        <v>249.41000000000003</v>
      </c>
      <c r="AQ8" s="11">
        <f t="shared" si="6"/>
        <v>249.96800000000002</v>
      </c>
    </row>
    <row r="9" spans="1:43" customFormat="1" x14ac:dyDescent="0.35">
      <c r="A9" s="2" t="s">
        <v>38</v>
      </c>
      <c r="B9" s="4">
        <v>7.25</v>
      </c>
      <c r="C9" s="4">
        <v>7.47</v>
      </c>
      <c r="D9" s="4">
        <v>7.52</v>
      </c>
      <c r="E9" s="4">
        <v>7.53</v>
      </c>
      <c r="F9" s="4">
        <v>7.59</v>
      </c>
      <c r="G9" s="8">
        <f t="shared" si="0"/>
        <v>7.4719999999999995</v>
      </c>
      <c r="H9" s="5">
        <v>36.4</v>
      </c>
      <c r="I9" s="5">
        <v>38.770000000000003</v>
      </c>
      <c r="J9" s="5">
        <v>40.67</v>
      </c>
      <c r="K9" s="5">
        <v>43.63</v>
      </c>
      <c r="L9" s="5">
        <v>47.79</v>
      </c>
      <c r="M9" s="8">
        <f t="shared" si="1"/>
        <v>41.451999999999998</v>
      </c>
      <c r="N9" s="6">
        <v>48.363036417069104</v>
      </c>
      <c r="O9" s="6">
        <v>47.53</v>
      </c>
      <c r="P9" s="6">
        <v>44.6</v>
      </c>
      <c r="Q9" s="6">
        <v>44.36</v>
      </c>
      <c r="R9" s="6">
        <v>44.16</v>
      </c>
      <c r="S9" s="10">
        <f t="shared" si="2"/>
        <v>45.80260728341382</v>
      </c>
      <c r="T9" s="6">
        <v>93.528701530000006</v>
      </c>
      <c r="U9" s="6">
        <v>94.628406760000004</v>
      </c>
      <c r="V9" s="6">
        <v>93.7</v>
      </c>
      <c r="W9" s="6">
        <v>93.13</v>
      </c>
      <c r="X9" s="6">
        <v>93.31</v>
      </c>
      <c r="Y9" s="10">
        <f t="shared" si="3"/>
        <v>93.659421657999999</v>
      </c>
      <c r="Z9" s="3">
        <v>539</v>
      </c>
      <c r="AA9" s="3">
        <v>538</v>
      </c>
      <c r="AB9" s="3">
        <v>538</v>
      </c>
      <c r="AC9" s="3">
        <v>538</v>
      </c>
      <c r="AD9" s="3">
        <v>539</v>
      </c>
      <c r="AE9" s="14">
        <f t="shared" si="4"/>
        <v>538.4</v>
      </c>
      <c r="AF9" s="5">
        <v>13.4</v>
      </c>
      <c r="AG9" s="5">
        <v>11.96</v>
      </c>
      <c r="AH9" s="5">
        <v>11.51</v>
      </c>
      <c r="AI9" s="5">
        <v>12.43</v>
      </c>
      <c r="AJ9" s="5">
        <v>10.199999999999999</v>
      </c>
      <c r="AK9" s="11">
        <f t="shared" si="5"/>
        <v>11.9</v>
      </c>
      <c r="AL9" s="6">
        <v>259.32</v>
      </c>
      <c r="AM9" s="6">
        <v>256.09000000000003</v>
      </c>
      <c r="AN9" s="6">
        <v>256.5</v>
      </c>
      <c r="AO9" s="6">
        <v>258.51</v>
      </c>
      <c r="AP9" s="6">
        <v>255.93</v>
      </c>
      <c r="AQ9" s="11">
        <f t="shared" si="6"/>
        <v>257.27000000000004</v>
      </c>
    </row>
    <row r="10" spans="1:43" customFormat="1" x14ac:dyDescent="0.35">
      <c r="A10" s="2" t="s">
        <v>39</v>
      </c>
      <c r="B10" s="4">
        <v>6.58</v>
      </c>
      <c r="C10" s="4">
        <v>6.6</v>
      </c>
      <c r="D10" s="4">
        <v>6.83</v>
      </c>
      <c r="E10" s="4">
        <v>6.85</v>
      </c>
      <c r="F10" s="4">
        <v>7.12</v>
      </c>
      <c r="G10" s="8">
        <f t="shared" si="0"/>
        <v>6.7959999999999994</v>
      </c>
      <c r="H10" s="5">
        <v>29.35</v>
      </c>
      <c r="I10" s="5">
        <v>31.91</v>
      </c>
      <c r="J10" s="5">
        <v>31.05</v>
      </c>
      <c r="K10" s="5">
        <v>33.51</v>
      </c>
      <c r="L10" s="5">
        <v>36.770000000000003</v>
      </c>
      <c r="M10" s="8">
        <f t="shared" si="1"/>
        <v>32.518000000000001</v>
      </c>
      <c r="N10" s="6">
        <v>49.457067113993439</v>
      </c>
      <c r="O10" s="6">
        <v>48.88</v>
      </c>
      <c r="P10" s="6">
        <v>44.25</v>
      </c>
      <c r="Q10" s="6">
        <v>44.09</v>
      </c>
      <c r="R10" s="6">
        <v>43.96</v>
      </c>
      <c r="S10" s="10">
        <f t="shared" si="2"/>
        <v>46.127413422798689</v>
      </c>
      <c r="T10" s="6">
        <v>92.196001999999993</v>
      </c>
      <c r="U10" s="6">
        <v>91.920853370000003</v>
      </c>
      <c r="V10" s="6">
        <v>93.048000000000002</v>
      </c>
      <c r="W10" s="6">
        <v>93.36</v>
      </c>
      <c r="X10" s="6">
        <v>93.92</v>
      </c>
      <c r="Y10" s="10">
        <f t="shared" si="3"/>
        <v>92.888971074000011</v>
      </c>
      <c r="Z10" s="3">
        <v>321</v>
      </c>
      <c r="AA10" s="3">
        <v>321</v>
      </c>
      <c r="AB10" s="3">
        <v>320</v>
      </c>
      <c r="AC10" s="3">
        <v>321</v>
      </c>
      <c r="AD10" s="3">
        <v>321</v>
      </c>
      <c r="AE10" s="14">
        <f t="shared" si="4"/>
        <v>320.8</v>
      </c>
      <c r="AF10" s="5">
        <v>17.18</v>
      </c>
      <c r="AG10" s="5">
        <v>15.55</v>
      </c>
      <c r="AH10" s="5">
        <v>15.32</v>
      </c>
      <c r="AI10" s="5">
        <v>17.670000000000002</v>
      </c>
      <c r="AJ10" s="5">
        <v>15.49</v>
      </c>
      <c r="AK10" s="11">
        <f t="shared" si="5"/>
        <v>16.241999999999997</v>
      </c>
      <c r="AL10" s="6">
        <v>256.97999999999996</v>
      </c>
      <c r="AM10" s="6">
        <v>256.77</v>
      </c>
      <c r="AN10" s="6">
        <v>241.07</v>
      </c>
      <c r="AO10" s="6">
        <v>257.52</v>
      </c>
      <c r="AP10" s="6">
        <v>254.2</v>
      </c>
      <c r="AQ10" s="11">
        <f t="shared" si="6"/>
        <v>253.30799999999999</v>
      </c>
    </row>
    <row r="11" spans="1:43" customFormat="1" x14ac:dyDescent="0.35">
      <c r="A11" s="2" t="s">
        <v>40</v>
      </c>
      <c r="B11" s="4">
        <v>6.66</v>
      </c>
      <c r="C11" s="4">
        <v>6.67</v>
      </c>
      <c r="D11" s="4">
        <v>6.76</v>
      </c>
      <c r="E11" s="4">
        <v>6.91</v>
      </c>
      <c r="F11" s="4">
        <v>7.18</v>
      </c>
      <c r="G11" s="8">
        <f t="shared" si="0"/>
        <v>6.8360000000000003</v>
      </c>
      <c r="H11" s="5">
        <v>23.09</v>
      </c>
      <c r="I11" s="5">
        <v>24.68</v>
      </c>
      <c r="J11" s="5">
        <v>22.92</v>
      </c>
      <c r="K11" s="5">
        <v>24.33</v>
      </c>
      <c r="L11" s="5">
        <v>26.28</v>
      </c>
      <c r="M11" s="8">
        <f t="shared" si="1"/>
        <v>24.259999999999998</v>
      </c>
      <c r="N11" s="6">
        <v>47.550974938370096</v>
      </c>
      <c r="O11" s="6">
        <v>47.33</v>
      </c>
      <c r="P11" s="6">
        <v>40.08</v>
      </c>
      <c r="Q11" s="6">
        <v>39.700000000000003</v>
      </c>
      <c r="R11" s="6">
        <v>39.56</v>
      </c>
      <c r="S11" s="10">
        <f t="shared" si="2"/>
        <v>42.844194987674015</v>
      </c>
      <c r="T11" s="6">
        <v>91.883740059999994</v>
      </c>
      <c r="U11" s="6">
        <v>91.134128860000004</v>
      </c>
      <c r="V11" s="6">
        <v>91.138999999999996</v>
      </c>
      <c r="W11" s="6">
        <v>93.08</v>
      </c>
      <c r="X11" s="6">
        <v>90.68</v>
      </c>
      <c r="Y11" s="10">
        <f t="shared" si="3"/>
        <v>91.583373784000003</v>
      </c>
      <c r="Z11" s="3">
        <v>386</v>
      </c>
      <c r="AA11" s="3">
        <v>388</v>
      </c>
      <c r="AB11" s="3">
        <v>389</v>
      </c>
      <c r="AC11" s="3">
        <v>390</v>
      </c>
      <c r="AD11" s="3">
        <v>392</v>
      </c>
      <c r="AE11" s="14">
        <f t="shared" si="4"/>
        <v>389</v>
      </c>
      <c r="AF11" s="5">
        <v>12.81</v>
      </c>
      <c r="AG11" s="5">
        <v>11.57</v>
      </c>
      <c r="AH11" s="5">
        <v>11.04</v>
      </c>
      <c r="AI11" s="5">
        <v>11.39</v>
      </c>
      <c r="AJ11" s="5">
        <v>10.42</v>
      </c>
      <c r="AK11" s="11">
        <f t="shared" si="5"/>
        <v>11.446000000000002</v>
      </c>
      <c r="AL11" s="6">
        <v>240.56</v>
      </c>
      <c r="AM11" s="6">
        <v>238.17999999999998</v>
      </c>
      <c r="AN11" s="6">
        <v>264.5</v>
      </c>
      <c r="AO11" s="6">
        <v>241.76</v>
      </c>
      <c r="AP11" s="6">
        <v>242.34</v>
      </c>
      <c r="AQ11" s="11">
        <f t="shared" si="6"/>
        <v>245.46799999999999</v>
      </c>
    </row>
    <row r="12" spans="1:43" customFormat="1" x14ac:dyDescent="0.35">
      <c r="A12" s="2" t="s">
        <v>41</v>
      </c>
      <c r="B12" s="4">
        <v>5.86</v>
      </c>
      <c r="C12" s="4">
        <v>6</v>
      </c>
      <c r="D12" s="4">
        <v>6.01</v>
      </c>
      <c r="E12" s="4">
        <v>6.02</v>
      </c>
      <c r="F12" s="4">
        <v>6.21</v>
      </c>
      <c r="G12" s="8">
        <f t="shared" si="0"/>
        <v>6.02</v>
      </c>
      <c r="H12" s="5">
        <v>34.229999999999997</v>
      </c>
      <c r="I12" s="5">
        <v>36.67</v>
      </c>
      <c r="J12" s="5">
        <v>33.24</v>
      </c>
      <c r="K12" s="5">
        <v>35.270000000000003</v>
      </c>
      <c r="L12" s="5">
        <v>37.99</v>
      </c>
      <c r="M12" s="8">
        <f t="shared" si="1"/>
        <v>35.480000000000004</v>
      </c>
      <c r="N12" s="6">
        <v>53.669959953995594</v>
      </c>
      <c r="O12" s="6">
        <v>54.22</v>
      </c>
      <c r="P12" s="6">
        <v>45.42</v>
      </c>
      <c r="Q12" s="6">
        <v>45.24</v>
      </c>
      <c r="R12" s="6">
        <v>45.1</v>
      </c>
      <c r="S12" s="10">
        <f t="shared" si="2"/>
        <v>48.729991990799121</v>
      </c>
      <c r="T12" s="6">
        <v>84.713821289999998</v>
      </c>
      <c r="U12" s="6">
        <v>88.144309960000001</v>
      </c>
      <c r="V12" s="6">
        <v>85.385999999999996</v>
      </c>
      <c r="W12" s="6">
        <v>87.52</v>
      </c>
      <c r="X12" s="6">
        <v>88.71</v>
      </c>
      <c r="Y12" s="10">
        <f t="shared" si="3"/>
        <v>86.894826249999994</v>
      </c>
      <c r="Z12" s="3">
        <v>155</v>
      </c>
      <c r="AA12" s="3">
        <v>156</v>
      </c>
      <c r="AB12" s="3">
        <v>156</v>
      </c>
      <c r="AC12" s="3">
        <v>157</v>
      </c>
      <c r="AD12" s="3">
        <v>159</v>
      </c>
      <c r="AE12" s="14">
        <f t="shared" si="4"/>
        <v>156.6</v>
      </c>
      <c r="AF12" s="5">
        <v>14.13</v>
      </c>
      <c r="AG12" s="5">
        <v>13.09</v>
      </c>
      <c r="AH12" s="5">
        <v>12.76</v>
      </c>
      <c r="AI12" s="5">
        <v>13.29</v>
      </c>
      <c r="AJ12" s="5">
        <v>11.73</v>
      </c>
      <c r="AK12" s="11">
        <f t="shared" si="5"/>
        <v>13</v>
      </c>
      <c r="AL12" s="6">
        <v>265.39</v>
      </c>
      <c r="AM12" s="6">
        <v>264.02999999999997</v>
      </c>
      <c r="AN12" s="6">
        <v>265.12</v>
      </c>
      <c r="AO12" s="6">
        <v>264.44</v>
      </c>
      <c r="AP12" s="6">
        <v>262.86</v>
      </c>
      <c r="AQ12" s="11">
        <f t="shared" si="6"/>
        <v>264.36800000000005</v>
      </c>
    </row>
    <row r="13" spans="1:43" customFormat="1" x14ac:dyDescent="0.35">
      <c r="A13" s="2" t="s">
        <v>42</v>
      </c>
      <c r="B13" s="4">
        <v>6.81</v>
      </c>
      <c r="C13" s="4">
        <v>6.82</v>
      </c>
      <c r="D13" s="4">
        <v>6.83</v>
      </c>
      <c r="E13" s="4">
        <v>7</v>
      </c>
      <c r="F13" s="4">
        <v>7.02</v>
      </c>
      <c r="G13" s="8">
        <f t="shared" si="0"/>
        <v>6.8960000000000008</v>
      </c>
      <c r="H13" s="5">
        <v>46.14</v>
      </c>
      <c r="I13" s="5">
        <v>50.24</v>
      </c>
      <c r="J13" s="5">
        <v>47.47</v>
      </c>
      <c r="K13" s="5">
        <v>50.77</v>
      </c>
      <c r="L13" s="5">
        <v>56.69</v>
      </c>
      <c r="M13" s="8">
        <f t="shared" si="1"/>
        <v>50.262</v>
      </c>
      <c r="N13" s="6">
        <v>51.089010389926592</v>
      </c>
      <c r="O13" s="6">
        <v>50.94</v>
      </c>
      <c r="P13" s="6">
        <v>45.74</v>
      </c>
      <c r="Q13" s="6">
        <v>45.56</v>
      </c>
      <c r="R13" s="6">
        <v>45.41</v>
      </c>
      <c r="S13" s="10">
        <f t="shared" si="2"/>
        <v>47.74780207798532</v>
      </c>
      <c r="T13" s="6">
        <v>92.17232285</v>
      </c>
      <c r="U13" s="6">
        <v>91.592575679999996</v>
      </c>
      <c r="V13" s="6">
        <v>90.236999999999995</v>
      </c>
      <c r="W13" s="6">
        <v>92.06</v>
      </c>
      <c r="X13" s="6">
        <v>92.96</v>
      </c>
      <c r="Y13" s="10">
        <f t="shared" si="3"/>
        <v>91.804379705999992</v>
      </c>
      <c r="Z13" s="3">
        <v>250</v>
      </c>
      <c r="AA13" s="3">
        <v>251</v>
      </c>
      <c r="AB13" s="3">
        <v>251</v>
      </c>
      <c r="AC13" s="3">
        <v>248</v>
      </c>
      <c r="AD13" s="3">
        <v>249</v>
      </c>
      <c r="AE13" s="14">
        <f t="shared" si="4"/>
        <v>249.8</v>
      </c>
      <c r="AF13" s="5">
        <v>16.84</v>
      </c>
      <c r="AG13" s="5">
        <v>15.64</v>
      </c>
      <c r="AH13" s="5">
        <v>15.24</v>
      </c>
      <c r="AI13" s="5">
        <v>16.53</v>
      </c>
      <c r="AJ13" s="5">
        <v>14.67</v>
      </c>
      <c r="AK13" s="11">
        <f t="shared" si="5"/>
        <v>15.784000000000001</v>
      </c>
      <c r="AL13" s="6">
        <v>263.64999999999998</v>
      </c>
      <c r="AM13" s="6">
        <v>265.09000000000003</v>
      </c>
      <c r="AN13" s="6">
        <v>273.7</v>
      </c>
      <c r="AO13" s="6">
        <v>267.55</v>
      </c>
      <c r="AP13" s="6">
        <v>264.39</v>
      </c>
      <c r="AQ13" s="11">
        <f t="shared" si="6"/>
        <v>266.87600000000003</v>
      </c>
    </row>
    <row r="14" spans="1:43" customFormat="1" x14ac:dyDescent="0.35">
      <c r="A14" s="2" t="s">
        <v>43</v>
      </c>
      <c r="B14" s="4">
        <v>9.9</v>
      </c>
      <c r="C14" s="4">
        <v>10.14</v>
      </c>
      <c r="D14" s="4">
        <v>10.17</v>
      </c>
      <c r="E14" s="4">
        <v>10.43</v>
      </c>
      <c r="F14" s="4">
        <v>10.44</v>
      </c>
      <c r="G14" s="8">
        <f t="shared" si="0"/>
        <v>10.215999999999999</v>
      </c>
      <c r="H14" s="5">
        <v>56.57</v>
      </c>
      <c r="I14" s="5">
        <v>59.86</v>
      </c>
      <c r="J14" s="5">
        <v>57.16</v>
      </c>
      <c r="K14" s="5">
        <v>60.57</v>
      </c>
      <c r="L14" s="5">
        <v>66.17</v>
      </c>
      <c r="M14" s="8">
        <f t="shared" si="1"/>
        <v>60.065999999999995</v>
      </c>
      <c r="N14" s="6">
        <v>43.485558588010825</v>
      </c>
      <c r="O14" s="6">
        <v>43.41</v>
      </c>
      <c r="P14" s="6">
        <v>45.01</v>
      </c>
      <c r="Q14" s="6">
        <v>44.89</v>
      </c>
      <c r="R14" s="6">
        <v>44.79</v>
      </c>
      <c r="S14" s="10">
        <f t="shared" si="2"/>
        <v>44.31711171760216</v>
      </c>
      <c r="T14" s="6">
        <v>96.68447707</v>
      </c>
      <c r="U14" s="6">
        <v>96.665137549999997</v>
      </c>
      <c r="V14" s="6">
        <v>97.504000000000005</v>
      </c>
      <c r="W14" s="6">
        <v>97.99</v>
      </c>
      <c r="X14" s="6">
        <v>97.95</v>
      </c>
      <c r="Y14" s="10">
        <f t="shared" si="3"/>
        <v>97.358722924000006</v>
      </c>
      <c r="Z14" s="3">
        <v>628</v>
      </c>
      <c r="AA14" s="3">
        <v>628</v>
      </c>
      <c r="AB14" s="3">
        <v>626</v>
      </c>
      <c r="AC14" s="3">
        <v>627</v>
      </c>
      <c r="AD14" s="3">
        <v>628</v>
      </c>
      <c r="AE14" s="14">
        <f t="shared" si="4"/>
        <v>627.4</v>
      </c>
      <c r="AF14" s="5">
        <v>20.57</v>
      </c>
      <c r="AG14" s="5">
        <v>19.88</v>
      </c>
      <c r="AH14" s="5">
        <v>18.7</v>
      </c>
      <c r="AI14" s="5">
        <v>19.84</v>
      </c>
      <c r="AJ14" s="5">
        <v>18.760000000000002</v>
      </c>
      <c r="AK14" s="11">
        <f t="shared" si="5"/>
        <v>19.550000000000004</v>
      </c>
      <c r="AL14" s="6">
        <v>273.86</v>
      </c>
      <c r="AM14" s="6">
        <v>274.8</v>
      </c>
      <c r="AN14" s="6">
        <v>264.33</v>
      </c>
      <c r="AO14" s="6">
        <v>274.94</v>
      </c>
      <c r="AP14" s="6">
        <v>272.77</v>
      </c>
      <c r="AQ14" s="11">
        <f t="shared" si="6"/>
        <v>272.14</v>
      </c>
    </row>
    <row r="15" spans="1:43" customFormat="1" x14ac:dyDescent="0.35">
      <c r="A15" s="2" t="s">
        <v>44</v>
      </c>
      <c r="B15" s="4">
        <v>7.57</v>
      </c>
      <c r="C15" s="4">
        <v>7.72</v>
      </c>
      <c r="D15" s="4">
        <v>7.89</v>
      </c>
      <c r="E15" s="4">
        <v>7.9</v>
      </c>
      <c r="F15" s="4">
        <v>8.19</v>
      </c>
      <c r="G15" s="8">
        <f t="shared" si="0"/>
        <v>7.8539999999999992</v>
      </c>
      <c r="H15" s="5">
        <v>44.24</v>
      </c>
      <c r="I15" s="5">
        <v>45.89</v>
      </c>
      <c r="J15" s="5">
        <v>43.08</v>
      </c>
      <c r="K15" s="5">
        <v>45.73</v>
      </c>
      <c r="L15" s="5">
        <v>49.41</v>
      </c>
      <c r="M15" s="8">
        <f t="shared" si="1"/>
        <v>45.669999999999995</v>
      </c>
      <c r="N15" s="6">
        <v>53.714073200853264</v>
      </c>
      <c r="O15" s="6">
        <v>53.61</v>
      </c>
      <c r="P15" s="6">
        <v>49.53</v>
      </c>
      <c r="Q15" s="6">
        <v>49.39</v>
      </c>
      <c r="R15" s="6">
        <v>49.29</v>
      </c>
      <c r="S15" s="10">
        <f t="shared" si="2"/>
        <v>51.106814640170654</v>
      </c>
      <c r="T15" s="6">
        <v>91.773830340000004</v>
      </c>
      <c r="U15" s="6">
        <v>91.047519199999996</v>
      </c>
      <c r="V15" s="6">
        <v>93.18</v>
      </c>
      <c r="W15" s="6">
        <v>91.99</v>
      </c>
      <c r="X15" s="6">
        <v>95.38</v>
      </c>
      <c r="Y15" s="10">
        <f t="shared" si="3"/>
        <v>92.674269907999999</v>
      </c>
      <c r="Z15" s="3">
        <v>708</v>
      </c>
      <c r="AA15" s="3">
        <v>709</v>
      </c>
      <c r="AB15" s="3">
        <v>715</v>
      </c>
      <c r="AC15" s="3">
        <v>724</v>
      </c>
      <c r="AD15" s="3">
        <v>731</v>
      </c>
      <c r="AE15" s="14">
        <f t="shared" si="4"/>
        <v>717.4</v>
      </c>
      <c r="AF15" s="5">
        <v>20.329999999999998</v>
      </c>
      <c r="AG15" s="5">
        <v>19.850000000000001</v>
      </c>
      <c r="AH15" s="5">
        <v>17.829999999999998</v>
      </c>
      <c r="AI15" s="5">
        <v>18.32</v>
      </c>
      <c r="AJ15" s="5">
        <v>17</v>
      </c>
      <c r="AK15" s="11">
        <f t="shared" si="5"/>
        <v>18.666</v>
      </c>
      <c r="AL15" s="6">
        <v>261.77</v>
      </c>
      <c r="AM15" s="6">
        <v>262.77999999999997</v>
      </c>
      <c r="AN15" s="6">
        <v>259.85000000000002</v>
      </c>
      <c r="AO15" s="6">
        <v>267.81</v>
      </c>
      <c r="AP15" s="6">
        <v>268.31</v>
      </c>
      <c r="AQ15" s="11">
        <f t="shared" si="6"/>
        <v>264.10399999999998</v>
      </c>
    </row>
    <row r="17" spans="1:43" customFormat="1" x14ac:dyDescent="0.3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7"/>
      <c r="H17" s="1" t="s">
        <v>6</v>
      </c>
      <c r="I17" s="1" t="s">
        <v>7</v>
      </c>
      <c r="J17" s="1" t="s">
        <v>8</v>
      </c>
      <c r="K17" s="1" t="s">
        <v>9</v>
      </c>
      <c r="L17" s="1" t="s">
        <v>10</v>
      </c>
      <c r="M17" s="7"/>
      <c r="N17" s="1" t="s">
        <v>11</v>
      </c>
      <c r="O17" s="1" t="s">
        <v>12</v>
      </c>
      <c r="P17" s="1" t="s">
        <v>13</v>
      </c>
      <c r="Q17" s="1" t="s">
        <v>14</v>
      </c>
      <c r="R17" s="1" t="s">
        <v>15</v>
      </c>
      <c r="S17" s="7"/>
      <c r="T17" s="1" t="s">
        <v>16</v>
      </c>
      <c r="U17" s="1" t="s">
        <v>17</v>
      </c>
      <c r="V17" s="1" t="s">
        <v>18</v>
      </c>
      <c r="W17" s="1" t="s">
        <v>19</v>
      </c>
      <c r="X17" s="1" t="s">
        <v>20</v>
      </c>
      <c r="Y17" s="7"/>
      <c r="Z17" s="1" t="s">
        <v>21</v>
      </c>
      <c r="AA17" s="1" t="s">
        <v>22</v>
      </c>
      <c r="AB17" s="1" t="s">
        <v>23</v>
      </c>
      <c r="AC17" s="1" t="s">
        <v>24</v>
      </c>
      <c r="AD17" s="1" t="s">
        <v>25</v>
      </c>
      <c r="AE17" s="7"/>
      <c r="AF17" s="1" t="s">
        <v>26</v>
      </c>
      <c r="AG17" s="1" t="s">
        <v>27</v>
      </c>
      <c r="AH17" s="1" t="s">
        <v>28</v>
      </c>
      <c r="AI17" s="1" t="s">
        <v>29</v>
      </c>
      <c r="AJ17" s="1" t="s">
        <v>30</v>
      </c>
      <c r="AK17" s="7"/>
      <c r="AL17" s="1" t="s">
        <v>59</v>
      </c>
      <c r="AM17" s="1" t="s">
        <v>60</v>
      </c>
      <c r="AN17" s="1" t="s">
        <v>61</v>
      </c>
      <c r="AO17" s="1" t="s">
        <v>62</v>
      </c>
      <c r="AP17" s="1" t="s">
        <v>63</v>
      </c>
      <c r="AQ17" s="7"/>
    </row>
    <row r="18" spans="1:43" customFormat="1" x14ac:dyDescent="0.35">
      <c r="A18" s="2" t="s">
        <v>31</v>
      </c>
      <c r="B18" s="6">
        <f>B2-$G2</f>
        <v>-2.9999999999999361E-2</v>
      </c>
      <c r="C18" s="6">
        <f t="shared" ref="C18:F18" si="7">C2-$G2</f>
        <v>-9.9999999999988987E-3</v>
      </c>
      <c r="D18" s="6">
        <f t="shared" si="7"/>
        <v>0</v>
      </c>
      <c r="E18" s="6">
        <f t="shared" si="7"/>
        <v>1.0000000000000675E-2</v>
      </c>
      <c r="F18" s="6">
        <f t="shared" si="7"/>
        <v>3.0000000000001137E-2</v>
      </c>
      <c r="G18" s="9"/>
      <c r="H18" s="6">
        <f>H2-$M2</f>
        <v>-0.24200000000000443</v>
      </c>
      <c r="I18" s="6">
        <f t="shared" ref="I18:L18" si="8">I2-$M2</f>
        <v>2.4379999999999953</v>
      </c>
      <c r="J18" s="6">
        <f t="shared" si="8"/>
        <v>-3.0720000000000027</v>
      </c>
      <c r="K18" s="6">
        <f t="shared" si="8"/>
        <v>-0.93200000000000216</v>
      </c>
      <c r="L18" s="6">
        <f t="shared" si="8"/>
        <v>1.8079999999999927</v>
      </c>
      <c r="M18" s="9"/>
      <c r="N18" s="6">
        <f>N2-$S2</f>
        <v>5.2883955702637166</v>
      </c>
      <c r="O18" s="6">
        <f t="shared" ref="O18:R18" si="9">O2-$S2</f>
        <v>5.1054011074340764</v>
      </c>
      <c r="P18" s="6">
        <f t="shared" si="9"/>
        <v>-3.3245988925659233</v>
      </c>
      <c r="Q18" s="6">
        <f t="shared" si="9"/>
        <v>-3.474598892565929</v>
      </c>
      <c r="R18" s="6">
        <f t="shared" si="9"/>
        <v>-3.5945988925659265</v>
      </c>
      <c r="S18" s="9"/>
      <c r="T18" s="6">
        <f>T2-$Y2</f>
        <v>-1.1792651519999993</v>
      </c>
      <c r="U18" s="6">
        <f t="shared" ref="U18:W18" si="10">U2-$Y2</f>
        <v>0.16385937799999795</v>
      </c>
      <c r="V18" s="6">
        <f t="shared" si="10"/>
        <v>-1.2248647420000083</v>
      </c>
      <c r="W18" s="6">
        <f t="shared" si="10"/>
        <v>1.4701352579999991</v>
      </c>
      <c r="X18" s="6">
        <f>X2-$Y2</f>
        <v>0.77013525799999627</v>
      </c>
      <c r="Y18" s="9"/>
      <c r="Z18" s="13">
        <f>Z2-$AE2</f>
        <v>4.6000000000000227</v>
      </c>
      <c r="AA18" s="13">
        <f t="shared" ref="AA18:AD18" si="11">AA2-$AE2</f>
        <v>5.6000000000000227</v>
      </c>
      <c r="AB18" s="13">
        <f t="shared" si="11"/>
        <v>-5.3999999999999773</v>
      </c>
      <c r="AC18" s="13">
        <f t="shared" si="11"/>
        <v>-2.3999999999999773</v>
      </c>
      <c r="AD18" s="13">
        <f t="shared" si="11"/>
        <v>-2.3999999999999773</v>
      </c>
      <c r="AE18" s="9"/>
      <c r="AF18" s="6">
        <f>AF2-$AK2</f>
        <v>0.36200000000000188</v>
      </c>
      <c r="AG18" s="6">
        <f t="shared" ref="AG18:AJ18" si="12">AG2-$AK2</f>
        <v>-0.42800000000000082</v>
      </c>
      <c r="AH18" s="6">
        <f t="shared" si="12"/>
        <v>-0.10800000000000054</v>
      </c>
      <c r="AI18" s="6">
        <f t="shared" si="12"/>
        <v>1.3620000000000019</v>
      </c>
      <c r="AJ18" s="6">
        <f t="shared" si="12"/>
        <v>-1.1879999999999988</v>
      </c>
      <c r="AK18" s="9"/>
      <c r="AL18" s="6">
        <f>AL2-$AQ2</f>
        <v>-0.22399999999998954</v>
      </c>
      <c r="AM18" s="6">
        <f t="shared" ref="AM18:AP18" si="13">AM2-$AQ2</f>
        <v>-0.2540000000000191</v>
      </c>
      <c r="AN18" s="6">
        <f t="shared" si="13"/>
        <v>0.70600000000001728</v>
      </c>
      <c r="AO18" s="6">
        <f t="shared" si="13"/>
        <v>0.6360000000000241</v>
      </c>
      <c r="AP18" s="6">
        <f t="shared" si="13"/>
        <v>-0.8639999999999759</v>
      </c>
      <c r="AQ18" s="9"/>
    </row>
    <row r="19" spans="1:43" customFormat="1" x14ac:dyDescent="0.35">
      <c r="A19" s="2" t="s">
        <v>32</v>
      </c>
      <c r="B19" s="6">
        <f t="shared" ref="B19:F31" si="14">B3-$G3</f>
        <v>-0.40200000000000014</v>
      </c>
      <c r="C19" s="6">
        <f t="shared" si="14"/>
        <v>-0.14199999999999946</v>
      </c>
      <c r="D19" s="6">
        <f t="shared" si="14"/>
        <v>8.8000000000000078E-2</v>
      </c>
      <c r="E19" s="6">
        <f t="shared" si="14"/>
        <v>0.12800000000000011</v>
      </c>
      <c r="F19" s="6">
        <f t="shared" si="14"/>
        <v>0.32800000000000029</v>
      </c>
      <c r="G19" s="9"/>
      <c r="H19" s="6">
        <f t="shared" ref="H19:L31" si="15">H3-$M3</f>
        <v>-0.72999999999999687</v>
      </c>
      <c r="I19" s="6">
        <f t="shared" si="15"/>
        <v>1.3100000000000023</v>
      </c>
      <c r="J19" s="6">
        <f t="shared" si="15"/>
        <v>-2.269999999999996</v>
      </c>
      <c r="K19" s="6">
        <f t="shared" si="15"/>
        <v>-0.52999999999999403</v>
      </c>
      <c r="L19" s="6">
        <f t="shared" si="15"/>
        <v>2.220000000000006</v>
      </c>
      <c r="M19" s="9"/>
      <c r="N19" s="6">
        <f t="shared" ref="N19:R31" si="16">N3-$S3</f>
        <v>4.6692318950011398</v>
      </c>
      <c r="O19" s="6">
        <f t="shared" si="16"/>
        <v>5.8076920262497254</v>
      </c>
      <c r="P19" s="6">
        <f t="shared" si="16"/>
        <v>-3.3323079737502752</v>
      </c>
      <c r="Q19" s="6">
        <f t="shared" si="16"/>
        <v>-3.5023079737502769</v>
      </c>
      <c r="R19" s="6">
        <f t="shared" si="16"/>
        <v>-3.6423079737502775</v>
      </c>
      <c r="S19" s="9"/>
      <c r="T19" s="6">
        <f t="shared" ref="T19:X31" si="17">T3-$Y3</f>
        <v>-2.4415302320000052</v>
      </c>
      <c r="U19" s="6">
        <f t="shared" si="17"/>
        <v>6.5670998000001646E-2</v>
      </c>
      <c r="V19" s="6">
        <f t="shared" si="17"/>
        <v>0.82195307799999284</v>
      </c>
      <c r="W19" s="6">
        <f t="shared" si="17"/>
        <v>-0.12804692199999579</v>
      </c>
      <c r="X19" s="6">
        <f t="shared" si="17"/>
        <v>1.6819530779999923</v>
      </c>
      <c r="Y19" s="9"/>
      <c r="Z19" s="13">
        <f t="shared" ref="Z19:AD31" si="18">Z3-$AE3</f>
        <v>-2</v>
      </c>
      <c r="AA19" s="13">
        <f t="shared" si="18"/>
        <v>-2</v>
      </c>
      <c r="AB19" s="13">
        <f t="shared" si="18"/>
        <v>1</v>
      </c>
      <c r="AC19" s="13">
        <f t="shared" si="18"/>
        <v>1</v>
      </c>
      <c r="AD19" s="13">
        <f t="shared" si="18"/>
        <v>2</v>
      </c>
      <c r="AE19" s="9"/>
      <c r="AF19" s="6">
        <f t="shared" ref="AF19:AJ31" si="19">AF3-$AK3</f>
        <v>0.7759999999999998</v>
      </c>
      <c r="AG19" s="6">
        <f t="shared" si="19"/>
        <v>-0.4139999999999997</v>
      </c>
      <c r="AH19" s="6">
        <f t="shared" si="19"/>
        <v>-0.33399999999999963</v>
      </c>
      <c r="AI19" s="6">
        <f t="shared" si="19"/>
        <v>0.82600000000000051</v>
      </c>
      <c r="AJ19" s="6">
        <f t="shared" si="19"/>
        <v>-0.85400000000000098</v>
      </c>
      <c r="AK19" s="9"/>
      <c r="AL19" s="6">
        <f t="shared" ref="AL19:AP31" si="20">AL3-$AQ3</f>
        <v>-1.9319999999999595</v>
      </c>
      <c r="AM19" s="6">
        <f t="shared" si="20"/>
        <v>-2.3619999999999663</v>
      </c>
      <c r="AN19" s="6">
        <f t="shared" si="20"/>
        <v>-0.71199999999998909</v>
      </c>
      <c r="AO19" s="6">
        <f t="shared" si="20"/>
        <v>2.7480000000000473</v>
      </c>
      <c r="AP19" s="6">
        <f t="shared" si="20"/>
        <v>2.2580000000000382</v>
      </c>
      <c r="AQ19" s="9"/>
    </row>
    <row r="20" spans="1:43" customFormat="1" x14ac:dyDescent="0.35">
      <c r="A20" s="2" t="s">
        <v>33</v>
      </c>
      <c r="B20" s="6">
        <f t="shared" si="14"/>
        <v>-2.4000000000000021E-2</v>
      </c>
      <c r="C20" s="6">
        <f t="shared" si="14"/>
        <v>-1.4000000000000234E-2</v>
      </c>
      <c r="D20" s="6">
        <f t="shared" si="14"/>
        <v>-3.9999999999995595E-3</v>
      </c>
      <c r="E20" s="6">
        <f t="shared" si="14"/>
        <v>6.0000000000002274E-3</v>
      </c>
      <c r="F20" s="6">
        <f t="shared" si="14"/>
        <v>3.6000000000000476E-2</v>
      </c>
      <c r="G20" s="9"/>
      <c r="H20" s="6">
        <f t="shared" si="15"/>
        <v>-2.1419999999999959</v>
      </c>
      <c r="I20" s="6">
        <f t="shared" si="15"/>
        <v>-0.37199999999999633</v>
      </c>
      <c r="J20" s="6">
        <f t="shared" si="15"/>
        <v>-1.3119999999999941</v>
      </c>
      <c r="K20" s="6">
        <f t="shared" si="15"/>
        <v>0.63800000000000523</v>
      </c>
      <c r="L20" s="6">
        <f t="shared" si="15"/>
        <v>3.1880000000000059</v>
      </c>
      <c r="M20" s="9"/>
      <c r="N20" s="6">
        <f t="shared" si="16"/>
        <v>2.9437548988506279</v>
      </c>
      <c r="O20" s="6">
        <f t="shared" si="16"/>
        <v>7.5990612752873403</v>
      </c>
      <c r="P20" s="6">
        <f t="shared" si="16"/>
        <v>-3.3509387247126625</v>
      </c>
      <c r="Q20" s="6">
        <f t="shared" si="16"/>
        <v>-3.5209387247126642</v>
      </c>
      <c r="R20" s="6">
        <f t="shared" si="16"/>
        <v>-3.6709387247126628</v>
      </c>
      <c r="S20" s="9"/>
      <c r="T20" s="6">
        <f t="shared" si="17"/>
        <v>-0.29502018399999486</v>
      </c>
      <c r="U20" s="6">
        <f t="shared" si="17"/>
        <v>0.64474232599999937</v>
      </c>
      <c r="V20" s="6">
        <f t="shared" si="17"/>
        <v>-0.349240714000004</v>
      </c>
      <c r="W20" s="6">
        <f t="shared" si="17"/>
        <v>-5.5240713999992863E-2</v>
      </c>
      <c r="X20" s="6">
        <f t="shared" si="17"/>
        <v>5.4759286000006568E-2</v>
      </c>
      <c r="Y20" s="9"/>
      <c r="Z20" s="13">
        <f t="shared" si="18"/>
        <v>4.7999999999999545</v>
      </c>
      <c r="AA20" s="13">
        <f t="shared" si="18"/>
        <v>4.7999999999999545</v>
      </c>
      <c r="AB20" s="13">
        <f t="shared" si="18"/>
        <v>-4.2000000000000455</v>
      </c>
      <c r="AC20" s="13">
        <f t="shared" si="18"/>
        <v>-3.2000000000000455</v>
      </c>
      <c r="AD20" s="13">
        <f t="shared" si="18"/>
        <v>-2.2000000000000455</v>
      </c>
      <c r="AE20" s="9"/>
      <c r="AF20" s="6">
        <f t="shared" si="19"/>
        <v>0.93200000000000216</v>
      </c>
      <c r="AG20" s="6">
        <f t="shared" si="19"/>
        <v>-0.33799999999999919</v>
      </c>
      <c r="AH20" s="6">
        <f t="shared" si="19"/>
        <v>0.57199999999999918</v>
      </c>
      <c r="AI20" s="6">
        <f t="shared" si="19"/>
        <v>0.49200000000000088</v>
      </c>
      <c r="AJ20" s="6">
        <f t="shared" si="19"/>
        <v>-1.6579999999999995</v>
      </c>
      <c r="AK20" s="9"/>
      <c r="AL20" s="6">
        <f t="shared" si="20"/>
        <v>-1.0920000000000414</v>
      </c>
      <c r="AM20" s="6">
        <f t="shared" si="20"/>
        <v>-0.21200000000004593</v>
      </c>
      <c r="AN20" s="6">
        <f t="shared" si="20"/>
        <v>-0.96200000000004593</v>
      </c>
      <c r="AO20" s="6">
        <f t="shared" si="20"/>
        <v>0.6279999999999859</v>
      </c>
      <c r="AP20" s="6">
        <f t="shared" si="20"/>
        <v>1.6379999999999768</v>
      </c>
      <c r="AQ20" s="9"/>
    </row>
    <row r="21" spans="1:43" customFormat="1" x14ac:dyDescent="0.35">
      <c r="A21" s="2" t="s">
        <v>34</v>
      </c>
      <c r="B21" s="6">
        <f t="shared" si="14"/>
        <v>-0.30799999999999983</v>
      </c>
      <c r="C21" s="6">
        <f t="shared" si="14"/>
        <v>-0.11799999999999944</v>
      </c>
      <c r="D21" s="6">
        <f t="shared" si="14"/>
        <v>9.2000000000000526E-2</v>
      </c>
      <c r="E21" s="6">
        <f t="shared" si="14"/>
        <v>0.10200000000000031</v>
      </c>
      <c r="F21" s="6">
        <f t="shared" si="14"/>
        <v>0.23200000000000021</v>
      </c>
      <c r="G21" s="9"/>
      <c r="H21" s="6">
        <f t="shared" si="15"/>
        <v>-1.0180000000000007</v>
      </c>
      <c r="I21" s="6">
        <f t="shared" si="15"/>
        <v>1.291999999999998</v>
      </c>
      <c r="J21" s="6">
        <f t="shared" si="15"/>
        <v>-1.7780000000000022</v>
      </c>
      <c r="K21" s="6">
        <f t="shared" si="15"/>
        <v>-0.39800000000000324</v>
      </c>
      <c r="L21" s="6">
        <f t="shared" si="15"/>
        <v>1.902000000000001</v>
      </c>
      <c r="M21" s="9"/>
      <c r="N21" s="6">
        <f t="shared" si="16"/>
        <v>4.9392126473866327</v>
      </c>
      <c r="O21" s="6">
        <f t="shared" si="16"/>
        <v>3.7776968381533393</v>
      </c>
      <c r="P21" s="6">
        <f t="shared" si="16"/>
        <v>-2.8523031618466561</v>
      </c>
      <c r="Q21" s="6">
        <f t="shared" si="16"/>
        <v>-2.9123031618466584</v>
      </c>
      <c r="R21" s="6">
        <f t="shared" si="16"/>
        <v>-2.9523031618466575</v>
      </c>
      <c r="S21" s="9"/>
      <c r="T21" s="6">
        <f t="shared" si="17"/>
        <v>-0.27181282000000806</v>
      </c>
      <c r="U21" s="6">
        <f t="shared" si="17"/>
        <v>-0.8763932600000004</v>
      </c>
      <c r="V21" s="6">
        <f t="shared" si="17"/>
        <v>1.0207353599999891</v>
      </c>
      <c r="W21" s="6">
        <f t="shared" si="17"/>
        <v>-6.6264639999999986E-2</v>
      </c>
      <c r="X21" s="6">
        <f t="shared" si="17"/>
        <v>0.19373535999999092</v>
      </c>
      <c r="Y21" s="9"/>
      <c r="Z21" s="13">
        <f t="shared" si="18"/>
        <v>0.19999999999998863</v>
      </c>
      <c r="AA21" s="13">
        <f t="shared" si="18"/>
        <v>1.1999999999999886</v>
      </c>
      <c r="AB21" s="13">
        <f t="shared" si="18"/>
        <v>1.1999999999999886</v>
      </c>
      <c r="AC21" s="13">
        <f t="shared" si="18"/>
        <v>-1.8000000000000114</v>
      </c>
      <c r="AD21" s="13">
        <f t="shared" si="18"/>
        <v>-0.80000000000001137</v>
      </c>
      <c r="AE21" s="9"/>
      <c r="AF21" s="6">
        <f t="shared" si="19"/>
        <v>0.52999999999999936</v>
      </c>
      <c r="AG21" s="6">
        <f t="shared" si="19"/>
        <v>0.10999999999999943</v>
      </c>
      <c r="AH21" s="6">
        <f t="shared" si="19"/>
        <v>-0.65000000000000036</v>
      </c>
      <c r="AI21" s="6">
        <f t="shared" si="19"/>
        <v>0.78999999999999915</v>
      </c>
      <c r="AJ21" s="6">
        <f t="shared" si="19"/>
        <v>-0.77999999999999936</v>
      </c>
      <c r="AK21" s="9"/>
      <c r="AL21" s="6">
        <f t="shared" si="20"/>
        <v>4.3120000000000118</v>
      </c>
      <c r="AM21" s="6">
        <f t="shared" si="20"/>
        <v>2.9919999999999618</v>
      </c>
      <c r="AN21" s="6">
        <f t="shared" si="20"/>
        <v>-15.877999999999986</v>
      </c>
      <c r="AO21" s="6">
        <f t="shared" si="20"/>
        <v>4.79200000000003</v>
      </c>
      <c r="AP21" s="6">
        <f t="shared" si="20"/>
        <v>3.7820000000000391</v>
      </c>
      <c r="AQ21" s="9"/>
    </row>
    <row r="22" spans="1:43" customFormat="1" x14ac:dyDescent="0.35">
      <c r="A22" s="2" t="s">
        <v>35</v>
      </c>
      <c r="B22" s="6">
        <f t="shared" si="14"/>
        <v>-0.22800000000000065</v>
      </c>
      <c r="C22" s="6">
        <f t="shared" si="14"/>
        <v>-0.21800000000000086</v>
      </c>
      <c r="D22" s="6">
        <f t="shared" si="14"/>
        <v>-1.8000000000000682E-2</v>
      </c>
      <c r="E22" s="6">
        <f t="shared" si="14"/>
        <v>0.22199999999999864</v>
      </c>
      <c r="F22" s="6">
        <f t="shared" si="14"/>
        <v>0.2419999999999991</v>
      </c>
      <c r="G22" s="9"/>
      <c r="H22" s="6">
        <f t="shared" si="15"/>
        <v>-3.6760000000000019</v>
      </c>
      <c r="I22" s="6">
        <f t="shared" si="15"/>
        <v>-1.9859999999999971</v>
      </c>
      <c r="J22" s="6">
        <f t="shared" si="15"/>
        <v>-1.6359999999999957</v>
      </c>
      <c r="K22" s="6">
        <f t="shared" si="15"/>
        <v>1.6540000000000035</v>
      </c>
      <c r="L22" s="6">
        <f t="shared" si="15"/>
        <v>5.6439999999999984</v>
      </c>
      <c r="M22" s="9"/>
      <c r="N22" s="6">
        <f t="shared" si="16"/>
        <v>3.1954694538644546</v>
      </c>
      <c r="O22" s="6">
        <f t="shared" si="16"/>
        <v>2.9036326365338851</v>
      </c>
      <c r="P22" s="6">
        <f t="shared" si="16"/>
        <v>-1.85636736346612</v>
      </c>
      <c r="Q22" s="6">
        <f t="shared" si="16"/>
        <v>-2.0463673634661177</v>
      </c>
      <c r="R22" s="6">
        <f t="shared" si="16"/>
        <v>-2.1963673634661163</v>
      </c>
      <c r="S22" s="9"/>
      <c r="T22" s="6">
        <f t="shared" si="17"/>
        <v>-1.3366212260000054</v>
      </c>
      <c r="U22" s="6">
        <f t="shared" si="17"/>
        <v>-1.3569893559999997</v>
      </c>
      <c r="V22" s="6">
        <f t="shared" si="17"/>
        <v>1.9958701939999912</v>
      </c>
      <c r="W22" s="6">
        <f t="shared" si="17"/>
        <v>0.34887019399999986</v>
      </c>
      <c r="X22" s="6">
        <f t="shared" si="17"/>
        <v>0.34887019399999986</v>
      </c>
      <c r="Y22" s="9"/>
      <c r="Z22" s="13">
        <f t="shared" si="18"/>
        <v>0.60000000000002274</v>
      </c>
      <c r="AA22" s="13">
        <f t="shared" si="18"/>
        <v>0.60000000000002274</v>
      </c>
      <c r="AB22" s="13">
        <f t="shared" si="18"/>
        <v>-1.3999999999999773</v>
      </c>
      <c r="AC22" s="13">
        <f t="shared" si="18"/>
        <v>-0.39999999999997726</v>
      </c>
      <c r="AD22" s="13">
        <f t="shared" si="18"/>
        <v>0.60000000000002274</v>
      </c>
      <c r="AE22" s="9"/>
      <c r="AF22" s="6">
        <f t="shared" si="19"/>
        <v>1.1980000000000004</v>
      </c>
      <c r="AG22" s="6">
        <f t="shared" si="19"/>
        <v>-0.3620000000000001</v>
      </c>
      <c r="AH22" s="6">
        <f t="shared" si="19"/>
        <v>-0.84200000000000053</v>
      </c>
      <c r="AI22" s="6">
        <f t="shared" si="19"/>
        <v>1.2379999999999995</v>
      </c>
      <c r="AJ22" s="6">
        <f t="shared" si="19"/>
        <v>-1.2320000000000011</v>
      </c>
      <c r="AK22" s="9"/>
      <c r="AL22" s="6">
        <f t="shared" si="20"/>
        <v>-2.8619999999999663</v>
      </c>
      <c r="AM22" s="6">
        <f t="shared" si="20"/>
        <v>-3.0019999999999527</v>
      </c>
      <c r="AN22" s="6">
        <f t="shared" si="20"/>
        <v>10.197999999999979</v>
      </c>
      <c r="AO22" s="6">
        <f t="shared" si="20"/>
        <v>-3.1019999999999754</v>
      </c>
      <c r="AP22" s="6">
        <f t="shared" si="20"/>
        <v>-1.2319999999999993</v>
      </c>
      <c r="AQ22" s="9"/>
    </row>
    <row r="23" spans="1:43" customFormat="1" x14ac:dyDescent="0.35">
      <c r="A23" s="2" t="s">
        <v>36</v>
      </c>
      <c r="B23" s="6">
        <f t="shared" si="14"/>
        <v>-0.26999999999999957</v>
      </c>
      <c r="C23" s="6">
        <f t="shared" si="14"/>
        <v>-4.9999999999999822E-2</v>
      </c>
      <c r="D23" s="6">
        <f t="shared" si="14"/>
        <v>0</v>
      </c>
      <c r="E23" s="6">
        <f t="shared" si="14"/>
        <v>0.15000000000000036</v>
      </c>
      <c r="F23" s="6">
        <f t="shared" si="14"/>
        <v>0.17000000000000082</v>
      </c>
      <c r="G23" s="9"/>
      <c r="H23" s="6">
        <f t="shared" si="15"/>
        <v>-3.1460000000000008</v>
      </c>
      <c r="I23" s="6">
        <f t="shared" si="15"/>
        <v>0.86399999999999721</v>
      </c>
      <c r="J23" s="6">
        <f t="shared" si="15"/>
        <v>-3.4960000000000022</v>
      </c>
      <c r="K23" s="6">
        <f t="shared" si="15"/>
        <v>0.55399999999999494</v>
      </c>
      <c r="L23" s="6">
        <f t="shared" si="15"/>
        <v>5.2239999999999966</v>
      </c>
      <c r="M23" s="9"/>
      <c r="N23" s="6">
        <f t="shared" si="16"/>
        <v>5.6798545437338817</v>
      </c>
      <c r="O23" s="6">
        <f t="shared" si="16"/>
        <v>2.4050363640665324</v>
      </c>
      <c r="P23" s="6">
        <f t="shared" si="16"/>
        <v>-2.5249636359334673</v>
      </c>
      <c r="Q23" s="6">
        <f t="shared" si="16"/>
        <v>-2.704963635933467</v>
      </c>
      <c r="R23" s="6">
        <f t="shared" si="16"/>
        <v>-2.8549636359334656</v>
      </c>
      <c r="S23" s="9"/>
      <c r="T23" s="6">
        <f t="shared" si="17"/>
        <v>-1.437526341999984</v>
      </c>
      <c r="U23" s="6">
        <f t="shared" si="17"/>
        <v>0.47716777800000898</v>
      </c>
      <c r="V23" s="6">
        <f t="shared" si="17"/>
        <v>0.72478618800001016</v>
      </c>
      <c r="W23" s="6">
        <f t="shared" si="17"/>
        <v>-0.60221381199998802</v>
      </c>
      <c r="X23" s="6">
        <f t="shared" si="17"/>
        <v>0.8377861880000097</v>
      </c>
      <c r="Y23" s="9"/>
      <c r="Z23" s="13">
        <f t="shared" si="18"/>
        <v>-9.3999999999999773</v>
      </c>
      <c r="AA23" s="13">
        <f t="shared" si="18"/>
        <v>-8.3999999999999773</v>
      </c>
      <c r="AB23" s="13">
        <f t="shared" si="18"/>
        <v>-2.3999999999999773</v>
      </c>
      <c r="AC23" s="13">
        <f t="shared" si="18"/>
        <v>6.6000000000000227</v>
      </c>
      <c r="AD23" s="13">
        <f t="shared" si="18"/>
        <v>13.600000000000023</v>
      </c>
      <c r="AE23" s="9"/>
      <c r="AF23" s="6">
        <f t="shared" si="19"/>
        <v>1.5239999999999991</v>
      </c>
      <c r="AG23" s="6">
        <f t="shared" si="19"/>
        <v>0.21399999999999864</v>
      </c>
      <c r="AH23" s="6">
        <f t="shared" si="19"/>
        <v>-0.73600000000000065</v>
      </c>
      <c r="AI23" s="6">
        <f t="shared" si="19"/>
        <v>0.20399999999999885</v>
      </c>
      <c r="AJ23" s="6">
        <f t="shared" si="19"/>
        <v>-1.2060000000000013</v>
      </c>
      <c r="AK23" s="9"/>
      <c r="AL23" s="6">
        <f t="shared" si="20"/>
        <v>1.342000000000013</v>
      </c>
      <c r="AM23" s="6">
        <f t="shared" si="20"/>
        <v>1.1620000000000346</v>
      </c>
      <c r="AN23" s="6">
        <f t="shared" si="20"/>
        <v>-7.9379999999999598</v>
      </c>
      <c r="AO23" s="6">
        <f t="shared" si="20"/>
        <v>3.0820000000000221</v>
      </c>
      <c r="AP23" s="6">
        <f t="shared" si="20"/>
        <v>2.3520000000000039</v>
      </c>
      <c r="AQ23" s="9"/>
    </row>
    <row r="24" spans="1:43" customFormat="1" x14ac:dyDescent="0.35">
      <c r="A24" s="2" t="s">
        <v>37</v>
      </c>
      <c r="B24" s="6">
        <f t="shared" si="14"/>
        <v>-0.29600000000000026</v>
      </c>
      <c r="C24" s="6">
        <f t="shared" si="14"/>
        <v>-0.13600000000000101</v>
      </c>
      <c r="D24" s="6">
        <f t="shared" si="14"/>
        <v>4.3999999999999595E-2</v>
      </c>
      <c r="E24" s="6">
        <f t="shared" si="14"/>
        <v>5.3999999999999382E-2</v>
      </c>
      <c r="F24" s="6">
        <f t="shared" si="14"/>
        <v>0.33399999999999963</v>
      </c>
      <c r="G24" s="9"/>
      <c r="H24" s="6">
        <f t="shared" si="15"/>
        <v>-3.6460000000000008</v>
      </c>
      <c r="I24" s="6">
        <f t="shared" si="15"/>
        <v>-0.97599999999999909</v>
      </c>
      <c r="J24" s="6">
        <f t="shared" si="15"/>
        <v>-1.1159999999999997</v>
      </c>
      <c r="K24" s="6">
        <f t="shared" si="15"/>
        <v>1.1340000000000003</v>
      </c>
      <c r="L24" s="6">
        <f t="shared" si="15"/>
        <v>4.6039999999999992</v>
      </c>
      <c r="M24" s="9"/>
      <c r="N24" s="6">
        <f t="shared" si="16"/>
        <v>2.8066847956117087</v>
      </c>
      <c r="O24" s="6">
        <f t="shared" si="16"/>
        <v>2.4733288010970753</v>
      </c>
      <c r="P24" s="6">
        <f t="shared" si="16"/>
        <v>-1.586671198902927</v>
      </c>
      <c r="Q24" s="6">
        <f t="shared" si="16"/>
        <v>-1.7666711989029267</v>
      </c>
      <c r="R24" s="6">
        <f t="shared" si="16"/>
        <v>-1.9266711989029233</v>
      </c>
      <c r="S24" s="9"/>
      <c r="T24" s="6">
        <f t="shared" si="17"/>
        <v>-0.41725780400001611</v>
      </c>
      <c r="U24" s="6">
        <f t="shared" si="17"/>
        <v>1.4373178559999928</v>
      </c>
      <c r="V24" s="6">
        <f t="shared" si="17"/>
        <v>0.81931331599999169</v>
      </c>
      <c r="W24" s="6">
        <f t="shared" si="17"/>
        <v>-2.0196866840000069</v>
      </c>
      <c r="X24" s="6">
        <f t="shared" si="17"/>
        <v>0.18031331599999589</v>
      </c>
      <c r="Y24" s="9"/>
      <c r="Z24" s="13">
        <f t="shared" si="18"/>
        <v>-8.6000000000000227</v>
      </c>
      <c r="AA24" s="13">
        <f t="shared" si="18"/>
        <v>-7.6000000000000227</v>
      </c>
      <c r="AB24" s="13">
        <f t="shared" si="18"/>
        <v>-3.6000000000000227</v>
      </c>
      <c r="AC24" s="13">
        <f t="shared" si="18"/>
        <v>6.3999999999999773</v>
      </c>
      <c r="AD24" s="13">
        <f t="shared" si="18"/>
        <v>13.399999999999977</v>
      </c>
      <c r="AE24" s="9"/>
      <c r="AF24" s="6">
        <f t="shared" si="19"/>
        <v>1.740000000000002</v>
      </c>
      <c r="AG24" s="6">
        <f t="shared" si="19"/>
        <v>0.24000000000000199</v>
      </c>
      <c r="AH24" s="6">
        <f t="shared" si="19"/>
        <v>-0.83999999999999808</v>
      </c>
      <c r="AI24" s="6">
        <f t="shared" si="19"/>
        <v>0.50000000000000355</v>
      </c>
      <c r="AJ24" s="6">
        <f t="shared" si="19"/>
        <v>-1.639999999999997</v>
      </c>
      <c r="AK24" s="9"/>
      <c r="AL24" s="6">
        <f t="shared" si="20"/>
        <v>-2.02800000000002</v>
      </c>
      <c r="AM24" s="6">
        <f t="shared" si="20"/>
        <v>-5.0580000000000211</v>
      </c>
      <c r="AN24" s="6">
        <f t="shared" si="20"/>
        <v>8.7620000000000005</v>
      </c>
      <c r="AO24" s="6">
        <f t="shared" si="20"/>
        <v>-1.117999999999995</v>
      </c>
      <c r="AP24" s="6">
        <f t="shared" si="20"/>
        <v>-0.55799999999999272</v>
      </c>
      <c r="AQ24" s="9"/>
    </row>
    <row r="25" spans="1:43" customFormat="1" x14ac:dyDescent="0.35">
      <c r="A25" s="2" t="s">
        <v>38</v>
      </c>
      <c r="B25" s="6">
        <f t="shared" si="14"/>
        <v>-0.22199999999999953</v>
      </c>
      <c r="C25" s="6">
        <f t="shared" si="14"/>
        <v>-1.9999999999997797E-3</v>
      </c>
      <c r="D25" s="6">
        <f t="shared" si="14"/>
        <v>4.8000000000000043E-2</v>
      </c>
      <c r="E25" s="6">
        <f t="shared" si="14"/>
        <v>5.8000000000000718E-2</v>
      </c>
      <c r="F25" s="6">
        <f t="shared" si="14"/>
        <v>0.11800000000000033</v>
      </c>
      <c r="G25" s="9"/>
      <c r="H25" s="6">
        <f t="shared" si="15"/>
        <v>-5.0519999999999996</v>
      </c>
      <c r="I25" s="6">
        <f t="shared" si="15"/>
        <v>-2.6819999999999951</v>
      </c>
      <c r="J25" s="6">
        <f t="shared" si="15"/>
        <v>-0.78199999999999648</v>
      </c>
      <c r="K25" s="6">
        <f t="shared" si="15"/>
        <v>2.1780000000000044</v>
      </c>
      <c r="L25" s="6">
        <f t="shared" si="15"/>
        <v>6.338000000000001</v>
      </c>
      <c r="M25" s="9"/>
      <c r="N25" s="6">
        <f t="shared" si="16"/>
        <v>2.5604291336552834</v>
      </c>
      <c r="O25" s="6">
        <f t="shared" si="16"/>
        <v>1.7273927165861807</v>
      </c>
      <c r="P25" s="6">
        <f t="shared" si="16"/>
        <v>-1.2026072834138191</v>
      </c>
      <c r="Q25" s="6">
        <f t="shared" si="16"/>
        <v>-1.4426072834138211</v>
      </c>
      <c r="R25" s="6">
        <f t="shared" si="16"/>
        <v>-1.6426072834138239</v>
      </c>
      <c r="S25" s="9"/>
      <c r="T25" s="6">
        <f t="shared" si="17"/>
        <v>-0.130720127999993</v>
      </c>
      <c r="U25" s="6">
        <f t="shared" si="17"/>
        <v>0.96898510200000487</v>
      </c>
      <c r="V25" s="6">
        <f t="shared" si="17"/>
        <v>4.0578342000003431E-2</v>
      </c>
      <c r="W25" s="6">
        <f t="shared" si="17"/>
        <v>-0.52942165800000396</v>
      </c>
      <c r="X25" s="6">
        <f t="shared" si="17"/>
        <v>-0.34942165799999714</v>
      </c>
      <c r="Y25" s="9"/>
      <c r="Z25" s="13">
        <f t="shared" si="18"/>
        <v>0.60000000000002274</v>
      </c>
      <c r="AA25" s="13">
        <f t="shared" si="18"/>
        <v>-0.39999999999997726</v>
      </c>
      <c r="AB25" s="13">
        <f t="shared" si="18"/>
        <v>-0.39999999999997726</v>
      </c>
      <c r="AC25" s="13">
        <f t="shared" si="18"/>
        <v>-0.39999999999997726</v>
      </c>
      <c r="AD25" s="13">
        <f t="shared" si="18"/>
        <v>0.60000000000002274</v>
      </c>
      <c r="AE25" s="9"/>
      <c r="AF25" s="6">
        <f t="shared" si="19"/>
        <v>1.5</v>
      </c>
      <c r="AG25" s="6">
        <f t="shared" si="19"/>
        <v>6.0000000000000497E-2</v>
      </c>
      <c r="AH25" s="6">
        <f t="shared" si="19"/>
        <v>-0.39000000000000057</v>
      </c>
      <c r="AI25" s="6">
        <f t="shared" si="19"/>
        <v>0.52999999999999936</v>
      </c>
      <c r="AJ25" s="6">
        <f t="shared" si="19"/>
        <v>-1.7000000000000011</v>
      </c>
      <c r="AK25" s="9"/>
      <c r="AL25" s="6">
        <f t="shared" si="20"/>
        <v>2.0499999999999545</v>
      </c>
      <c r="AM25" s="6">
        <f t="shared" si="20"/>
        <v>-1.1800000000000068</v>
      </c>
      <c r="AN25" s="6">
        <f t="shared" si="20"/>
        <v>-0.77000000000003865</v>
      </c>
      <c r="AO25" s="6">
        <f t="shared" si="20"/>
        <v>1.2399999999999523</v>
      </c>
      <c r="AP25" s="6">
        <f t="shared" si="20"/>
        <v>-1.3400000000000318</v>
      </c>
      <c r="AQ25" s="9"/>
    </row>
    <row r="26" spans="1:43" customFormat="1" x14ac:dyDescent="0.35">
      <c r="A26" s="2" t="s">
        <v>39</v>
      </c>
      <c r="B26" s="6">
        <f t="shared" si="14"/>
        <v>-0.2159999999999993</v>
      </c>
      <c r="C26" s="6">
        <f t="shared" si="14"/>
        <v>-0.19599999999999973</v>
      </c>
      <c r="D26" s="6">
        <f t="shared" si="14"/>
        <v>3.4000000000000696E-2</v>
      </c>
      <c r="E26" s="6">
        <f t="shared" si="14"/>
        <v>5.400000000000027E-2</v>
      </c>
      <c r="F26" s="6">
        <f t="shared" si="14"/>
        <v>0.32400000000000073</v>
      </c>
      <c r="G26" s="9"/>
      <c r="H26" s="6">
        <f t="shared" si="15"/>
        <v>-3.1679999999999993</v>
      </c>
      <c r="I26" s="6">
        <f t="shared" si="15"/>
        <v>-0.60800000000000054</v>
      </c>
      <c r="J26" s="6">
        <f t="shared" si="15"/>
        <v>-1.468</v>
      </c>
      <c r="K26" s="6">
        <f t="shared" si="15"/>
        <v>0.99199999999999733</v>
      </c>
      <c r="L26" s="6">
        <f t="shared" si="15"/>
        <v>4.2520000000000024</v>
      </c>
      <c r="M26" s="9"/>
      <c r="N26" s="6">
        <f t="shared" si="16"/>
        <v>3.3296536911947499</v>
      </c>
      <c r="O26" s="6">
        <f t="shared" si="16"/>
        <v>2.7525865772013134</v>
      </c>
      <c r="P26" s="6">
        <f t="shared" si="16"/>
        <v>-1.8774134227986892</v>
      </c>
      <c r="Q26" s="6">
        <f t="shared" si="16"/>
        <v>-2.0374134227986858</v>
      </c>
      <c r="R26" s="6">
        <f t="shared" si="16"/>
        <v>-2.1674134227986883</v>
      </c>
      <c r="S26" s="9"/>
      <c r="T26" s="6">
        <f t="shared" si="17"/>
        <v>-0.69296907400001828</v>
      </c>
      <c r="U26" s="6">
        <f t="shared" si="17"/>
        <v>-0.96811770400000796</v>
      </c>
      <c r="V26" s="6">
        <f t="shared" si="17"/>
        <v>0.15902892599999063</v>
      </c>
      <c r="W26" s="6">
        <f t="shared" si="17"/>
        <v>0.47102892599998825</v>
      </c>
      <c r="X26" s="6">
        <f t="shared" si="17"/>
        <v>1.0310289259999905</v>
      </c>
      <c r="Y26" s="9"/>
      <c r="Z26" s="13">
        <f t="shared" si="18"/>
        <v>0.19999999999998863</v>
      </c>
      <c r="AA26" s="13">
        <f t="shared" si="18"/>
        <v>0.19999999999998863</v>
      </c>
      <c r="AB26" s="13">
        <f t="shared" si="18"/>
        <v>-0.80000000000001137</v>
      </c>
      <c r="AC26" s="13">
        <f t="shared" si="18"/>
        <v>0.19999999999998863</v>
      </c>
      <c r="AD26" s="13">
        <f t="shared" si="18"/>
        <v>0.19999999999998863</v>
      </c>
      <c r="AE26" s="9"/>
      <c r="AF26" s="6">
        <f t="shared" si="19"/>
        <v>0.93800000000000239</v>
      </c>
      <c r="AG26" s="6">
        <f t="shared" si="19"/>
        <v>-0.69199999999999662</v>
      </c>
      <c r="AH26" s="6">
        <f t="shared" si="19"/>
        <v>-0.92199999999999704</v>
      </c>
      <c r="AI26" s="6">
        <f t="shared" si="19"/>
        <v>1.4280000000000044</v>
      </c>
      <c r="AJ26" s="6">
        <f t="shared" si="19"/>
        <v>-0.75199999999999712</v>
      </c>
      <c r="AK26" s="9"/>
      <c r="AL26" s="6">
        <f t="shared" si="20"/>
        <v>3.6719999999999686</v>
      </c>
      <c r="AM26" s="6">
        <f t="shared" si="20"/>
        <v>3.4619999999999891</v>
      </c>
      <c r="AN26" s="6">
        <f t="shared" si="20"/>
        <v>-12.238</v>
      </c>
      <c r="AO26" s="6">
        <f t="shared" si="20"/>
        <v>4.2119999999999891</v>
      </c>
      <c r="AP26" s="6">
        <f t="shared" si="20"/>
        <v>0.89199999999999591</v>
      </c>
      <c r="AQ26" s="9"/>
    </row>
    <row r="27" spans="1:43" customFormat="1" x14ac:dyDescent="0.35">
      <c r="A27" s="2" t="s">
        <v>40</v>
      </c>
      <c r="B27" s="6">
        <f t="shared" si="14"/>
        <v>-0.17600000000000016</v>
      </c>
      <c r="C27" s="6">
        <f t="shared" si="14"/>
        <v>-0.16600000000000037</v>
      </c>
      <c r="D27" s="6">
        <f t="shared" si="14"/>
        <v>-7.6000000000000512E-2</v>
      </c>
      <c r="E27" s="6">
        <f t="shared" si="14"/>
        <v>7.3999999999999844E-2</v>
      </c>
      <c r="F27" s="6">
        <f t="shared" si="14"/>
        <v>0.34399999999999942</v>
      </c>
      <c r="G27" s="9"/>
      <c r="H27" s="6">
        <f t="shared" si="15"/>
        <v>-1.1699999999999982</v>
      </c>
      <c r="I27" s="6">
        <f t="shared" si="15"/>
        <v>0.42000000000000171</v>
      </c>
      <c r="J27" s="6">
        <f t="shared" si="15"/>
        <v>-1.3399999999999963</v>
      </c>
      <c r="K27" s="6">
        <f t="shared" si="15"/>
        <v>7.0000000000000284E-2</v>
      </c>
      <c r="L27" s="6">
        <f t="shared" si="15"/>
        <v>2.0200000000000031</v>
      </c>
      <c r="M27" s="9"/>
      <c r="N27" s="6">
        <f t="shared" si="16"/>
        <v>4.706779950696081</v>
      </c>
      <c r="O27" s="6">
        <f t="shared" si="16"/>
        <v>4.4858050123259829</v>
      </c>
      <c r="P27" s="6">
        <f t="shared" si="16"/>
        <v>-2.7641949876740171</v>
      </c>
      <c r="Q27" s="6">
        <f t="shared" si="16"/>
        <v>-3.1441949876740125</v>
      </c>
      <c r="R27" s="6">
        <f t="shared" si="16"/>
        <v>-3.2841949876740131</v>
      </c>
      <c r="S27" s="9"/>
      <c r="T27" s="6">
        <f t="shared" si="17"/>
        <v>0.30036627599999122</v>
      </c>
      <c r="U27" s="6">
        <f t="shared" si="17"/>
        <v>-0.44924492399999849</v>
      </c>
      <c r="V27" s="6">
        <f t="shared" si="17"/>
        <v>-0.44437378400000682</v>
      </c>
      <c r="W27" s="6">
        <f t="shared" si="17"/>
        <v>1.4966262159999957</v>
      </c>
      <c r="X27" s="6">
        <f t="shared" si="17"/>
        <v>-0.90337378399999579</v>
      </c>
      <c r="Y27" s="9"/>
      <c r="Z27" s="13">
        <f t="shared" si="18"/>
        <v>-3</v>
      </c>
      <c r="AA27" s="13">
        <f t="shared" si="18"/>
        <v>-1</v>
      </c>
      <c r="AB27" s="13">
        <f t="shared" si="18"/>
        <v>0</v>
      </c>
      <c r="AC27" s="13">
        <f t="shared" si="18"/>
        <v>1</v>
      </c>
      <c r="AD27" s="13">
        <f t="shared" si="18"/>
        <v>3</v>
      </c>
      <c r="AE27" s="9"/>
      <c r="AF27" s="6">
        <f t="shared" si="19"/>
        <v>1.363999999999999</v>
      </c>
      <c r="AG27" s="6">
        <f t="shared" si="19"/>
        <v>0.12399999999999878</v>
      </c>
      <c r="AH27" s="6">
        <f t="shared" si="19"/>
        <v>-0.40600000000000236</v>
      </c>
      <c r="AI27" s="6">
        <f t="shared" si="19"/>
        <v>-5.6000000000000938E-2</v>
      </c>
      <c r="AJ27" s="6">
        <f t="shared" si="19"/>
        <v>-1.0260000000000016</v>
      </c>
      <c r="AK27" s="9"/>
      <c r="AL27" s="6">
        <f t="shared" si="20"/>
        <v>-4.907999999999987</v>
      </c>
      <c r="AM27" s="6">
        <f t="shared" si="20"/>
        <v>-7.2880000000000109</v>
      </c>
      <c r="AN27" s="6">
        <f t="shared" si="20"/>
        <v>19.032000000000011</v>
      </c>
      <c r="AO27" s="6">
        <f t="shared" si="20"/>
        <v>-3.7079999999999984</v>
      </c>
      <c r="AP27" s="6">
        <f t="shared" si="20"/>
        <v>-3.1279999999999859</v>
      </c>
      <c r="AQ27" s="9"/>
    </row>
    <row r="28" spans="1:43" customFormat="1" x14ac:dyDescent="0.35">
      <c r="A28" s="2" t="s">
        <v>41</v>
      </c>
      <c r="B28" s="6">
        <f t="shared" si="14"/>
        <v>-0.15999999999999925</v>
      </c>
      <c r="C28" s="6">
        <f t="shared" si="14"/>
        <v>-1.9999999999999574E-2</v>
      </c>
      <c r="D28" s="6">
        <f t="shared" si="14"/>
        <v>-9.9999999999997868E-3</v>
      </c>
      <c r="E28" s="6">
        <f t="shared" si="14"/>
        <v>0</v>
      </c>
      <c r="F28" s="6">
        <f t="shared" si="14"/>
        <v>0.19000000000000039</v>
      </c>
      <c r="G28" s="9"/>
      <c r="H28" s="6">
        <f t="shared" si="15"/>
        <v>-1.2500000000000071</v>
      </c>
      <c r="I28" s="6">
        <f t="shared" si="15"/>
        <v>1.1899999999999977</v>
      </c>
      <c r="J28" s="6">
        <f t="shared" si="15"/>
        <v>-2.240000000000002</v>
      </c>
      <c r="K28" s="6">
        <f t="shared" si="15"/>
        <v>-0.21000000000000085</v>
      </c>
      <c r="L28" s="6">
        <f t="shared" si="15"/>
        <v>2.509999999999998</v>
      </c>
      <c r="M28" s="9"/>
      <c r="N28" s="6">
        <f t="shared" si="16"/>
        <v>4.939967963196473</v>
      </c>
      <c r="O28" s="6">
        <f t="shared" si="16"/>
        <v>5.4900080092008778</v>
      </c>
      <c r="P28" s="6">
        <f t="shared" si="16"/>
        <v>-3.3099919907991193</v>
      </c>
      <c r="Q28" s="6">
        <f t="shared" si="16"/>
        <v>-3.489991990799119</v>
      </c>
      <c r="R28" s="6">
        <f t="shared" si="16"/>
        <v>-3.6299919907991196</v>
      </c>
      <c r="S28" s="9"/>
      <c r="T28" s="6">
        <f t="shared" si="17"/>
        <v>-2.1810049599999957</v>
      </c>
      <c r="U28" s="6">
        <f t="shared" si="17"/>
        <v>1.2494837100000069</v>
      </c>
      <c r="V28" s="6">
        <f t="shared" si="17"/>
        <v>-1.5088262499999985</v>
      </c>
      <c r="W28" s="6">
        <f t="shared" si="17"/>
        <v>0.62517375000000186</v>
      </c>
      <c r="X28" s="6">
        <f t="shared" si="17"/>
        <v>1.8151737499999996</v>
      </c>
      <c r="Y28" s="9"/>
      <c r="Z28" s="13">
        <f t="shared" si="18"/>
        <v>-1.5999999999999943</v>
      </c>
      <c r="AA28" s="13">
        <f t="shared" si="18"/>
        <v>-0.59999999999999432</v>
      </c>
      <c r="AB28" s="13">
        <f t="shared" si="18"/>
        <v>-0.59999999999999432</v>
      </c>
      <c r="AC28" s="13">
        <f t="shared" si="18"/>
        <v>0.40000000000000568</v>
      </c>
      <c r="AD28" s="13">
        <f t="shared" si="18"/>
        <v>2.4000000000000057</v>
      </c>
      <c r="AE28" s="9"/>
      <c r="AF28" s="6">
        <f t="shared" si="19"/>
        <v>1.1300000000000008</v>
      </c>
      <c r="AG28" s="6">
        <f t="shared" si="19"/>
        <v>8.9999999999999858E-2</v>
      </c>
      <c r="AH28" s="6">
        <f t="shared" si="19"/>
        <v>-0.24000000000000021</v>
      </c>
      <c r="AI28" s="6">
        <f t="shared" si="19"/>
        <v>0.28999999999999915</v>
      </c>
      <c r="AJ28" s="6">
        <f t="shared" si="19"/>
        <v>-1.2699999999999996</v>
      </c>
      <c r="AK28" s="9"/>
      <c r="AL28" s="6">
        <f t="shared" si="20"/>
        <v>1.0219999999999345</v>
      </c>
      <c r="AM28" s="6">
        <f t="shared" si="20"/>
        <v>-0.33800000000007913</v>
      </c>
      <c r="AN28" s="6">
        <f t="shared" si="20"/>
        <v>0.75199999999995271</v>
      </c>
      <c r="AO28" s="6">
        <f t="shared" si="20"/>
        <v>7.1999999999945885E-2</v>
      </c>
      <c r="AP28" s="6">
        <f t="shared" si="20"/>
        <v>-1.5080000000000382</v>
      </c>
      <c r="AQ28" s="9"/>
    </row>
    <row r="29" spans="1:43" customFormat="1" x14ac:dyDescent="0.35">
      <c r="A29" s="2" t="s">
        <v>42</v>
      </c>
      <c r="B29" s="6">
        <f t="shared" si="14"/>
        <v>-8.6000000000001187E-2</v>
      </c>
      <c r="C29" s="6">
        <f t="shared" si="14"/>
        <v>-7.6000000000000512E-2</v>
      </c>
      <c r="D29" s="6">
        <f t="shared" si="14"/>
        <v>-6.6000000000000725E-2</v>
      </c>
      <c r="E29" s="6">
        <f t="shared" si="14"/>
        <v>0.1039999999999992</v>
      </c>
      <c r="F29" s="6">
        <f t="shared" si="14"/>
        <v>0.12399999999999878</v>
      </c>
      <c r="G29" s="9"/>
      <c r="H29" s="6">
        <f t="shared" si="15"/>
        <v>-4.1219999999999999</v>
      </c>
      <c r="I29" s="6">
        <f t="shared" si="15"/>
        <v>-2.1999999999998465E-2</v>
      </c>
      <c r="J29" s="6">
        <f t="shared" si="15"/>
        <v>-2.7920000000000016</v>
      </c>
      <c r="K29" s="6">
        <f t="shared" si="15"/>
        <v>0.50800000000000267</v>
      </c>
      <c r="L29" s="6">
        <f t="shared" si="15"/>
        <v>6.4279999999999973</v>
      </c>
      <c r="M29" s="9"/>
      <c r="N29" s="6">
        <f t="shared" si="16"/>
        <v>3.3412083119412728</v>
      </c>
      <c r="O29" s="6">
        <f t="shared" si="16"/>
        <v>3.1921979220146781</v>
      </c>
      <c r="P29" s="6">
        <f t="shared" si="16"/>
        <v>-2.0078020779853176</v>
      </c>
      <c r="Q29" s="6">
        <f t="shared" si="16"/>
        <v>-2.1878020779853173</v>
      </c>
      <c r="R29" s="6">
        <f t="shared" si="16"/>
        <v>-2.337802077985323</v>
      </c>
      <c r="S29" s="9"/>
      <c r="T29" s="6">
        <f t="shared" si="17"/>
        <v>0.36794314400000872</v>
      </c>
      <c r="U29" s="6">
        <f t="shared" si="17"/>
        <v>-0.21180402599999582</v>
      </c>
      <c r="V29" s="6">
        <f t="shared" si="17"/>
        <v>-1.567379705999997</v>
      </c>
      <c r="W29" s="6">
        <f t="shared" si="17"/>
        <v>0.25562029400001052</v>
      </c>
      <c r="X29" s="6">
        <f t="shared" si="17"/>
        <v>1.155620294000002</v>
      </c>
      <c r="Y29" s="9"/>
      <c r="Z29" s="13">
        <f t="shared" si="18"/>
        <v>0.19999999999998863</v>
      </c>
      <c r="AA29" s="13">
        <f t="shared" si="18"/>
        <v>1.1999999999999886</v>
      </c>
      <c r="AB29" s="13">
        <f t="shared" si="18"/>
        <v>1.1999999999999886</v>
      </c>
      <c r="AC29" s="13">
        <f t="shared" si="18"/>
        <v>-1.8000000000000114</v>
      </c>
      <c r="AD29" s="13">
        <f t="shared" si="18"/>
        <v>-0.80000000000001137</v>
      </c>
      <c r="AE29" s="9"/>
      <c r="AF29" s="6">
        <f t="shared" si="19"/>
        <v>1.0559999999999992</v>
      </c>
      <c r="AG29" s="6">
        <f t="shared" si="19"/>
        <v>-0.14400000000000013</v>
      </c>
      <c r="AH29" s="6">
        <f t="shared" si="19"/>
        <v>-0.54400000000000048</v>
      </c>
      <c r="AI29" s="6">
        <f t="shared" si="19"/>
        <v>0.74600000000000044</v>
      </c>
      <c r="AJ29" s="6">
        <f t="shared" si="19"/>
        <v>-1.1140000000000008</v>
      </c>
      <c r="AK29" s="9"/>
      <c r="AL29" s="6">
        <f t="shared" si="20"/>
        <v>-3.2260000000000559</v>
      </c>
      <c r="AM29" s="6">
        <f t="shared" si="20"/>
        <v>-1.7860000000000014</v>
      </c>
      <c r="AN29" s="6">
        <f t="shared" si="20"/>
        <v>6.8239999999999554</v>
      </c>
      <c r="AO29" s="6">
        <f t="shared" si="20"/>
        <v>0.67399999999997817</v>
      </c>
      <c r="AP29" s="6">
        <f t="shared" si="20"/>
        <v>-2.4860000000000468</v>
      </c>
      <c r="AQ29" s="9"/>
    </row>
    <row r="30" spans="1:43" customFormat="1" x14ac:dyDescent="0.35">
      <c r="A30" s="2" t="s">
        <v>43</v>
      </c>
      <c r="B30" s="6">
        <f t="shared" si="14"/>
        <v>-0.31599999999999895</v>
      </c>
      <c r="C30" s="6">
        <f t="shared" si="14"/>
        <v>-7.5999999999998735E-2</v>
      </c>
      <c r="D30" s="6">
        <f t="shared" si="14"/>
        <v>-4.5999999999999375E-2</v>
      </c>
      <c r="E30" s="6">
        <f t="shared" si="14"/>
        <v>0.21400000000000041</v>
      </c>
      <c r="F30" s="6">
        <f t="shared" si="14"/>
        <v>0.2240000000000002</v>
      </c>
      <c r="G30" s="9"/>
      <c r="H30" s="6">
        <f t="shared" si="15"/>
        <v>-3.4959999999999951</v>
      </c>
      <c r="I30" s="6">
        <f t="shared" si="15"/>
        <v>-0.20599999999999596</v>
      </c>
      <c r="J30" s="6">
        <f t="shared" si="15"/>
        <v>-2.9059999999999988</v>
      </c>
      <c r="K30" s="6">
        <f t="shared" si="15"/>
        <v>0.50400000000000489</v>
      </c>
      <c r="L30" s="6">
        <f t="shared" si="15"/>
        <v>6.1040000000000063</v>
      </c>
      <c r="M30" s="9"/>
      <c r="N30" s="6">
        <f t="shared" si="16"/>
        <v>-0.83155312959133454</v>
      </c>
      <c r="O30" s="6">
        <f t="shared" si="16"/>
        <v>-0.90711171760216303</v>
      </c>
      <c r="P30" s="6">
        <f t="shared" si="16"/>
        <v>0.6928882823978384</v>
      </c>
      <c r="Q30" s="6">
        <f t="shared" si="16"/>
        <v>0.57288828239784095</v>
      </c>
      <c r="R30" s="6">
        <f t="shared" si="16"/>
        <v>0.47288828239783953</v>
      </c>
      <c r="S30" s="9"/>
      <c r="T30" s="6">
        <f t="shared" si="17"/>
        <v>-0.67424585400000581</v>
      </c>
      <c r="U30" s="6">
        <f t="shared" si="17"/>
        <v>-0.69358537400000841</v>
      </c>
      <c r="V30" s="6">
        <f t="shared" si="17"/>
        <v>0.14527707599999928</v>
      </c>
      <c r="W30" s="6">
        <f t="shared" si="17"/>
        <v>0.63127707599998928</v>
      </c>
      <c r="X30" s="6">
        <f t="shared" si="17"/>
        <v>0.59127707599999724</v>
      </c>
      <c r="Y30" s="9"/>
      <c r="Z30" s="13">
        <f t="shared" si="18"/>
        <v>0.60000000000002274</v>
      </c>
      <c r="AA30" s="13">
        <f t="shared" si="18"/>
        <v>0.60000000000002274</v>
      </c>
      <c r="AB30" s="13">
        <f t="shared" si="18"/>
        <v>-1.3999999999999773</v>
      </c>
      <c r="AC30" s="13">
        <f t="shared" si="18"/>
        <v>-0.39999999999997726</v>
      </c>
      <c r="AD30" s="13">
        <f t="shared" si="18"/>
        <v>0.60000000000002274</v>
      </c>
      <c r="AE30" s="9"/>
      <c r="AF30" s="6">
        <f t="shared" si="19"/>
        <v>1.019999999999996</v>
      </c>
      <c r="AG30" s="6">
        <f t="shared" si="19"/>
        <v>0.32999999999999474</v>
      </c>
      <c r="AH30" s="6">
        <f t="shared" si="19"/>
        <v>-0.85000000000000497</v>
      </c>
      <c r="AI30" s="6">
        <f t="shared" si="19"/>
        <v>0.28999999999999559</v>
      </c>
      <c r="AJ30" s="6">
        <f t="shared" si="19"/>
        <v>-0.7900000000000027</v>
      </c>
      <c r="AK30" s="9"/>
      <c r="AL30" s="6">
        <f t="shared" si="20"/>
        <v>1.7200000000000273</v>
      </c>
      <c r="AM30" s="6">
        <f t="shared" si="20"/>
        <v>2.660000000000025</v>
      </c>
      <c r="AN30" s="6">
        <f t="shared" si="20"/>
        <v>-7.8100000000000023</v>
      </c>
      <c r="AO30" s="6">
        <f t="shared" si="20"/>
        <v>2.8000000000000114</v>
      </c>
      <c r="AP30" s="6">
        <f t="shared" si="20"/>
        <v>0.62999999999999545</v>
      </c>
      <c r="AQ30" s="9"/>
    </row>
    <row r="31" spans="1:43" customFormat="1" x14ac:dyDescent="0.35">
      <c r="A31" s="2" t="s">
        <v>44</v>
      </c>
      <c r="B31" s="6">
        <f t="shared" si="14"/>
        <v>-0.28399999999999892</v>
      </c>
      <c r="C31" s="6">
        <f t="shared" si="14"/>
        <v>-0.13399999999999945</v>
      </c>
      <c r="D31" s="6">
        <f t="shared" si="14"/>
        <v>3.6000000000000476E-2</v>
      </c>
      <c r="E31" s="6">
        <f t="shared" si="14"/>
        <v>4.6000000000001151E-2</v>
      </c>
      <c r="F31" s="6">
        <f t="shared" si="14"/>
        <v>0.3360000000000003</v>
      </c>
      <c r="G31" s="9"/>
      <c r="H31" s="6">
        <f t="shared" si="15"/>
        <v>-1.4299999999999926</v>
      </c>
      <c r="I31" s="6">
        <f t="shared" si="15"/>
        <v>0.22000000000000597</v>
      </c>
      <c r="J31" s="6">
        <f t="shared" si="15"/>
        <v>-2.5899999999999963</v>
      </c>
      <c r="K31" s="6">
        <f t="shared" si="15"/>
        <v>6.0000000000002274E-2</v>
      </c>
      <c r="L31" s="6">
        <f t="shared" si="15"/>
        <v>3.740000000000002</v>
      </c>
      <c r="M31" s="9"/>
      <c r="N31" s="6">
        <f t="shared" si="16"/>
        <v>2.6072585606826095</v>
      </c>
      <c r="O31" s="6">
        <f t="shared" si="16"/>
        <v>2.5031853598293452</v>
      </c>
      <c r="P31" s="6">
        <f t="shared" si="16"/>
        <v>-1.5768146401706531</v>
      </c>
      <c r="Q31" s="6">
        <f t="shared" si="16"/>
        <v>-1.7168146401706537</v>
      </c>
      <c r="R31" s="6">
        <f t="shared" si="16"/>
        <v>-1.8168146401706551</v>
      </c>
      <c r="S31" s="9"/>
      <c r="T31" s="6">
        <f t="shared" si="17"/>
        <v>-0.90043956799999592</v>
      </c>
      <c r="U31" s="6">
        <f t="shared" si="17"/>
        <v>-1.626750708000003</v>
      </c>
      <c r="V31" s="6">
        <f t="shared" si="17"/>
        <v>0.5057300920000074</v>
      </c>
      <c r="W31" s="6">
        <f t="shared" si="17"/>
        <v>-0.68426990800000453</v>
      </c>
      <c r="X31" s="6">
        <f t="shared" si="17"/>
        <v>2.705730091999996</v>
      </c>
      <c r="Y31" s="9"/>
      <c r="Z31" s="13">
        <f t="shared" si="18"/>
        <v>-9.3999999999999773</v>
      </c>
      <c r="AA31" s="13">
        <f t="shared" si="18"/>
        <v>-8.3999999999999773</v>
      </c>
      <c r="AB31" s="13">
        <f t="shared" si="18"/>
        <v>-2.3999999999999773</v>
      </c>
      <c r="AC31" s="13">
        <f t="shared" si="18"/>
        <v>6.6000000000000227</v>
      </c>
      <c r="AD31" s="13">
        <f t="shared" si="18"/>
        <v>13.600000000000023</v>
      </c>
      <c r="AE31" s="9"/>
      <c r="AF31" s="6">
        <f t="shared" si="19"/>
        <v>1.6639999999999979</v>
      </c>
      <c r="AG31" s="6">
        <f t="shared" si="19"/>
        <v>1.1840000000000011</v>
      </c>
      <c r="AH31" s="6">
        <f t="shared" si="19"/>
        <v>-0.83600000000000207</v>
      </c>
      <c r="AI31" s="6">
        <f t="shared" si="19"/>
        <v>-0.34600000000000009</v>
      </c>
      <c r="AJ31" s="6">
        <f t="shared" si="19"/>
        <v>-1.6660000000000004</v>
      </c>
      <c r="AK31" s="9"/>
      <c r="AL31" s="6">
        <f t="shared" si="20"/>
        <v>-2.3340000000000032</v>
      </c>
      <c r="AM31" s="6">
        <f t="shared" si="20"/>
        <v>-1.3240000000000123</v>
      </c>
      <c r="AN31" s="6">
        <f t="shared" si="20"/>
        <v>-4.2539999999999623</v>
      </c>
      <c r="AO31" s="6">
        <f t="shared" si="20"/>
        <v>3.7060000000000173</v>
      </c>
      <c r="AP31" s="6">
        <f t="shared" si="20"/>
        <v>4.2060000000000173</v>
      </c>
      <c r="AQ31" s="9"/>
    </row>
    <row r="32" spans="1:43" x14ac:dyDescent="0.35">
      <c r="B32" s="6"/>
      <c r="C32" s="6"/>
      <c r="D32" s="6"/>
      <c r="E32" s="6"/>
      <c r="F3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7C20-419E-4610-B967-3774AB5C1AB8}">
  <dimension ref="A1:L71"/>
  <sheetViews>
    <sheetView workbookViewId="0">
      <selection activeCell="F2" sqref="F2"/>
    </sheetView>
  </sheetViews>
  <sheetFormatPr defaultRowHeight="14.5" x14ac:dyDescent="0.35"/>
  <cols>
    <col min="1" max="1" width="2.81640625" bestFit="1" customWidth="1"/>
    <col min="2" max="2" width="14.81640625" bestFit="1" customWidth="1"/>
    <col min="3" max="3" width="7.7265625" customWidth="1"/>
    <col min="4" max="5" width="14.26953125" customWidth="1"/>
    <col min="6" max="12" width="8.26953125" customWidth="1"/>
  </cols>
  <sheetData>
    <row r="1" spans="1:12" x14ac:dyDescent="0.35">
      <c r="A1" s="1" t="s">
        <v>51</v>
      </c>
      <c r="B1" s="1" t="s">
        <v>66</v>
      </c>
      <c r="C1" s="1" t="s">
        <v>52</v>
      </c>
      <c r="D1" s="1" t="s">
        <v>67</v>
      </c>
      <c r="E1" s="1" t="s">
        <v>68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65</v>
      </c>
    </row>
    <row r="2" spans="1:12" x14ac:dyDescent="0.35">
      <c r="A2">
        <v>1</v>
      </c>
      <c r="B2" s="2" t="s">
        <v>31</v>
      </c>
      <c r="C2">
        <v>2018</v>
      </c>
      <c r="F2" s="6">
        <v>-2.9999999999999361E-2</v>
      </c>
      <c r="G2" s="6">
        <v>-0.24200000000000443</v>
      </c>
      <c r="H2" s="6">
        <v>5.2883955702637166</v>
      </c>
      <c r="I2" s="6">
        <v>-1.1792651519999993</v>
      </c>
      <c r="J2" s="13">
        <v>4.6000000000000227</v>
      </c>
      <c r="K2" s="6">
        <v>0.36200000000000188</v>
      </c>
      <c r="L2" s="6">
        <v>-0.22399999999998954</v>
      </c>
    </row>
    <row r="3" spans="1:12" x14ac:dyDescent="0.35">
      <c r="A3">
        <v>2</v>
      </c>
      <c r="B3" s="2" t="s">
        <v>32</v>
      </c>
      <c r="C3">
        <v>2018</v>
      </c>
      <c r="F3" s="6">
        <v>-0.40200000000000014</v>
      </c>
      <c r="G3" s="6">
        <v>-0.72999999999999687</v>
      </c>
      <c r="H3" s="6">
        <v>4.6692318950011398</v>
      </c>
      <c r="I3" s="6">
        <v>-2.4415302320000052</v>
      </c>
      <c r="J3" s="13">
        <v>-2</v>
      </c>
      <c r="K3" s="6">
        <v>0.7759999999999998</v>
      </c>
      <c r="L3" s="6">
        <v>-1.9319999999999595</v>
      </c>
    </row>
    <row r="4" spans="1:12" x14ac:dyDescent="0.35">
      <c r="A4">
        <v>3</v>
      </c>
      <c r="B4" s="2" t="s">
        <v>33</v>
      </c>
      <c r="C4">
        <v>2018</v>
      </c>
      <c r="F4" s="6">
        <v>-2.4000000000000021E-2</v>
      </c>
      <c r="G4" s="6">
        <v>-2.1419999999999959</v>
      </c>
      <c r="H4" s="6">
        <v>2.9437548988506279</v>
      </c>
      <c r="I4" s="6">
        <v>-0.29502018399999486</v>
      </c>
      <c r="J4" s="13">
        <v>4.7999999999999545</v>
      </c>
      <c r="K4" s="6">
        <v>0.93200000000000216</v>
      </c>
      <c r="L4" s="6">
        <v>-1.0920000000000414</v>
      </c>
    </row>
    <row r="5" spans="1:12" x14ac:dyDescent="0.35">
      <c r="A5">
        <v>4</v>
      </c>
      <c r="B5" s="2" t="s">
        <v>34</v>
      </c>
      <c r="C5">
        <v>2018</v>
      </c>
      <c r="F5" s="6">
        <v>-0.30799999999999983</v>
      </c>
      <c r="G5" s="6">
        <v>-1.0180000000000007</v>
      </c>
      <c r="H5" s="6">
        <v>4.9392126473866327</v>
      </c>
      <c r="I5" s="6">
        <v>-0.27181282000000806</v>
      </c>
      <c r="J5" s="13">
        <v>0.19999999999998863</v>
      </c>
      <c r="K5" s="6">
        <v>0.52999999999999936</v>
      </c>
      <c r="L5" s="6">
        <v>4.3120000000000118</v>
      </c>
    </row>
    <row r="6" spans="1:12" x14ac:dyDescent="0.35">
      <c r="A6">
        <v>5</v>
      </c>
      <c r="B6" s="2" t="s">
        <v>35</v>
      </c>
      <c r="C6">
        <v>2018</v>
      </c>
      <c r="F6" s="6">
        <v>-0.22800000000000065</v>
      </c>
      <c r="G6" s="6">
        <v>-3.6760000000000019</v>
      </c>
      <c r="H6" s="6">
        <v>3.1954694538644546</v>
      </c>
      <c r="I6" s="6">
        <v>-1.3366212260000054</v>
      </c>
      <c r="J6" s="13">
        <v>0.60000000000002274</v>
      </c>
      <c r="K6" s="6">
        <v>1.1980000000000004</v>
      </c>
      <c r="L6" s="6">
        <v>-2.8619999999999663</v>
      </c>
    </row>
    <row r="7" spans="1:12" x14ac:dyDescent="0.35">
      <c r="A7">
        <v>6</v>
      </c>
      <c r="B7" s="2" t="s">
        <v>36</v>
      </c>
      <c r="C7">
        <v>2018</v>
      </c>
      <c r="F7" s="6">
        <v>-0.26999999999999957</v>
      </c>
      <c r="G7" s="6">
        <v>-3.1460000000000008</v>
      </c>
      <c r="H7" s="6">
        <v>5.6798545437338817</v>
      </c>
      <c r="I7" s="6">
        <v>-1.437526341999984</v>
      </c>
      <c r="J7" s="13">
        <v>-9.3999999999999773</v>
      </c>
      <c r="K7" s="6">
        <v>1.5239999999999991</v>
      </c>
      <c r="L7" s="6">
        <v>1.342000000000013</v>
      </c>
    </row>
    <row r="8" spans="1:12" x14ac:dyDescent="0.35">
      <c r="A8">
        <v>7</v>
      </c>
      <c r="B8" s="2" t="s">
        <v>37</v>
      </c>
      <c r="C8">
        <v>2018</v>
      </c>
      <c r="F8" s="6">
        <v>-0.29600000000000026</v>
      </c>
      <c r="G8" s="6">
        <v>-3.6460000000000008</v>
      </c>
      <c r="H8" s="6">
        <v>2.8066847956117087</v>
      </c>
      <c r="I8" s="6">
        <v>-0.41725780400001611</v>
      </c>
      <c r="J8" s="13">
        <v>-8.6000000000000227</v>
      </c>
      <c r="K8" s="6">
        <v>1.740000000000002</v>
      </c>
      <c r="L8" s="6">
        <v>-2.02800000000002</v>
      </c>
    </row>
    <row r="9" spans="1:12" x14ac:dyDescent="0.35">
      <c r="A9">
        <v>8</v>
      </c>
      <c r="B9" s="2" t="s">
        <v>38</v>
      </c>
      <c r="C9">
        <v>2018</v>
      </c>
      <c r="F9" s="6">
        <v>-0.22199999999999953</v>
      </c>
      <c r="G9" s="6">
        <v>-5.0519999999999996</v>
      </c>
      <c r="H9" s="6">
        <v>2.5604291336552834</v>
      </c>
      <c r="I9" s="6">
        <v>-0.130720127999993</v>
      </c>
      <c r="J9" s="13">
        <v>0.60000000000002274</v>
      </c>
      <c r="K9" s="6">
        <v>1.5</v>
      </c>
      <c r="L9" s="6">
        <v>2.0499999999999545</v>
      </c>
    </row>
    <row r="10" spans="1:12" x14ac:dyDescent="0.35">
      <c r="A10">
        <v>9</v>
      </c>
      <c r="B10" s="2" t="s">
        <v>39</v>
      </c>
      <c r="C10">
        <v>2018</v>
      </c>
      <c r="F10" s="6">
        <v>-0.2159999999999993</v>
      </c>
      <c r="G10" s="6">
        <v>-3.1679999999999993</v>
      </c>
      <c r="H10" s="6">
        <v>3.3296536911947499</v>
      </c>
      <c r="I10" s="6">
        <v>-0.69296907400001828</v>
      </c>
      <c r="J10" s="13">
        <v>0.19999999999998863</v>
      </c>
      <c r="K10" s="6">
        <v>0.93800000000000239</v>
      </c>
      <c r="L10" s="6">
        <v>3.6719999999999686</v>
      </c>
    </row>
    <row r="11" spans="1:12" x14ac:dyDescent="0.35">
      <c r="A11">
        <v>10</v>
      </c>
      <c r="B11" s="2" t="s">
        <v>40</v>
      </c>
      <c r="C11">
        <v>2018</v>
      </c>
      <c r="F11" s="6">
        <v>-0.17600000000000016</v>
      </c>
      <c r="G11" s="6">
        <v>-1.1699999999999982</v>
      </c>
      <c r="H11" s="6">
        <v>4.706779950696081</v>
      </c>
      <c r="I11" s="6">
        <v>0.30036627599999122</v>
      </c>
      <c r="J11" s="13">
        <v>-3</v>
      </c>
      <c r="K11" s="6">
        <v>1.363999999999999</v>
      </c>
      <c r="L11" s="6">
        <v>-4.907999999999987</v>
      </c>
    </row>
    <row r="12" spans="1:12" x14ac:dyDescent="0.35">
      <c r="A12">
        <v>11</v>
      </c>
      <c r="B12" s="2" t="s">
        <v>41</v>
      </c>
      <c r="C12">
        <v>2018</v>
      </c>
      <c r="F12" s="6">
        <v>-0.15999999999999925</v>
      </c>
      <c r="G12" s="6">
        <v>-1.2500000000000071</v>
      </c>
      <c r="H12" s="6">
        <v>4.939967963196473</v>
      </c>
      <c r="I12" s="6">
        <v>-2.1810049599999957</v>
      </c>
      <c r="J12" s="13">
        <v>-1.5999999999999943</v>
      </c>
      <c r="K12" s="6">
        <v>1.1300000000000008</v>
      </c>
      <c r="L12" s="6">
        <v>1.0219999999999345</v>
      </c>
    </row>
    <row r="13" spans="1:12" x14ac:dyDescent="0.35">
      <c r="A13">
        <v>12</v>
      </c>
      <c r="B13" s="2" t="s">
        <v>42</v>
      </c>
      <c r="C13">
        <v>2018</v>
      </c>
      <c r="F13" s="6">
        <v>-8.6000000000001187E-2</v>
      </c>
      <c r="G13" s="6">
        <v>-4.1219999999999999</v>
      </c>
      <c r="H13" s="6">
        <v>3.3412083119412728</v>
      </c>
      <c r="I13" s="6">
        <v>0.36794314400000872</v>
      </c>
      <c r="J13" s="13">
        <v>0.19999999999998863</v>
      </c>
      <c r="K13" s="6">
        <v>1.0559999999999992</v>
      </c>
      <c r="L13" s="6">
        <v>-3.2260000000000559</v>
      </c>
    </row>
    <row r="14" spans="1:12" x14ac:dyDescent="0.35">
      <c r="A14">
        <v>13</v>
      </c>
      <c r="B14" s="2" t="s">
        <v>43</v>
      </c>
      <c r="C14">
        <v>2018</v>
      </c>
      <c r="F14" s="6">
        <v>-0.31599999999999895</v>
      </c>
      <c r="G14" s="6">
        <v>-3.4959999999999951</v>
      </c>
      <c r="H14" s="6">
        <v>-0.83155312959133454</v>
      </c>
      <c r="I14" s="6">
        <v>-0.67424585400000581</v>
      </c>
      <c r="J14" s="13">
        <v>0.60000000000002274</v>
      </c>
      <c r="K14" s="6">
        <v>1.019999999999996</v>
      </c>
      <c r="L14" s="6">
        <v>1.7200000000000273</v>
      </c>
    </row>
    <row r="15" spans="1:12" x14ac:dyDescent="0.35">
      <c r="A15">
        <v>14</v>
      </c>
      <c r="B15" s="2" t="s">
        <v>44</v>
      </c>
      <c r="C15">
        <v>2018</v>
      </c>
      <c r="F15" s="6">
        <v>-0.28399999999999892</v>
      </c>
      <c r="G15" s="6">
        <v>-1.4299999999999926</v>
      </c>
      <c r="H15" s="6">
        <v>2.6072585606826095</v>
      </c>
      <c r="I15" s="6">
        <v>-0.90043956799999592</v>
      </c>
      <c r="J15" s="13">
        <v>-9.3999999999999773</v>
      </c>
      <c r="K15" s="6">
        <v>1.6639999999999979</v>
      </c>
      <c r="L15" s="6">
        <v>-2.3340000000000032</v>
      </c>
    </row>
    <row r="16" spans="1:12" x14ac:dyDescent="0.35">
      <c r="A16">
        <v>1</v>
      </c>
      <c r="B16" s="2" t="s">
        <v>31</v>
      </c>
      <c r="C16">
        <v>2019</v>
      </c>
      <c r="F16" s="6">
        <v>-9.9999999999988987E-3</v>
      </c>
      <c r="G16" s="6">
        <v>2.4379999999999953</v>
      </c>
      <c r="H16" s="6">
        <v>5.1054011074340764</v>
      </c>
      <c r="I16" s="6">
        <v>0.16385937799999795</v>
      </c>
      <c r="J16" s="13">
        <v>5.6000000000000227</v>
      </c>
      <c r="K16" s="6">
        <v>-0.42800000000000082</v>
      </c>
      <c r="L16" s="6">
        <v>-0.2540000000000191</v>
      </c>
    </row>
    <row r="17" spans="1:12" x14ac:dyDescent="0.35">
      <c r="A17">
        <v>2</v>
      </c>
      <c r="B17" s="2" t="s">
        <v>32</v>
      </c>
      <c r="C17">
        <v>2019</v>
      </c>
      <c r="F17" s="6">
        <v>-0.14199999999999946</v>
      </c>
      <c r="G17" s="6">
        <v>1.3100000000000023</v>
      </c>
      <c r="H17" s="6">
        <v>5.8076920262497254</v>
      </c>
      <c r="I17" s="6">
        <v>6.5670998000001646E-2</v>
      </c>
      <c r="J17" s="13">
        <v>-2</v>
      </c>
      <c r="K17" s="6">
        <v>-0.4139999999999997</v>
      </c>
      <c r="L17" s="6">
        <v>-2.3619999999999663</v>
      </c>
    </row>
    <row r="18" spans="1:12" x14ac:dyDescent="0.35">
      <c r="A18">
        <v>3</v>
      </c>
      <c r="B18" s="2" t="s">
        <v>33</v>
      </c>
      <c r="C18">
        <v>2019</v>
      </c>
      <c r="F18" s="6">
        <v>-1.4000000000000234E-2</v>
      </c>
      <c r="G18" s="6">
        <v>-0.37199999999999633</v>
      </c>
      <c r="H18" s="6">
        <v>7.5990612752873403</v>
      </c>
      <c r="I18" s="6">
        <v>0.64474232599999937</v>
      </c>
      <c r="J18" s="13">
        <v>4.7999999999999545</v>
      </c>
      <c r="K18" s="6">
        <v>-0.33799999999999919</v>
      </c>
      <c r="L18" s="6">
        <v>-0.21200000000004593</v>
      </c>
    </row>
    <row r="19" spans="1:12" x14ac:dyDescent="0.35">
      <c r="A19">
        <v>4</v>
      </c>
      <c r="B19" s="2" t="s">
        <v>34</v>
      </c>
      <c r="C19">
        <v>2019</v>
      </c>
      <c r="F19" s="6">
        <v>-0.11799999999999944</v>
      </c>
      <c r="G19" s="6">
        <v>1.291999999999998</v>
      </c>
      <c r="H19" s="6">
        <v>3.7776968381533393</v>
      </c>
      <c r="I19" s="6">
        <v>-0.8763932600000004</v>
      </c>
      <c r="J19" s="13">
        <v>1.1999999999999886</v>
      </c>
      <c r="K19" s="6">
        <v>0.10999999999999943</v>
      </c>
      <c r="L19" s="6">
        <v>2.9919999999999618</v>
      </c>
    </row>
    <row r="20" spans="1:12" x14ac:dyDescent="0.35">
      <c r="A20">
        <v>5</v>
      </c>
      <c r="B20" s="2" t="s">
        <v>35</v>
      </c>
      <c r="C20">
        <v>2019</v>
      </c>
      <c r="F20" s="6">
        <v>-0.21800000000000086</v>
      </c>
      <c r="G20" s="6">
        <v>-1.9859999999999971</v>
      </c>
      <c r="H20" s="6">
        <v>2.9036326365338851</v>
      </c>
      <c r="I20" s="6">
        <v>-1.3569893559999997</v>
      </c>
      <c r="J20" s="13">
        <v>0.60000000000002274</v>
      </c>
      <c r="K20" s="6">
        <v>-0.3620000000000001</v>
      </c>
      <c r="L20" s="6">
        <v>-3.0019999999999527</v>
      </c>
    </row>
    <row r="21" spans="1:12" x14ac:dyDescent="0.35">
      <c r="A21">
        <v>6</v>
      </c>
      <c r="B21" s="2" t="s">
        <v>36</v>
      </c>
      <c r="C21">
        <v>2019</v>
      </c>
      <c r="F21" s="6">
        <v>-4.9999999999999822E-2</v>
      </c>
      <c r="G21" s="6">
        <v>0.86399999999999721</v>
      </c>
      <c r="H21" s="6">
        <v>2.4050363640665324</v>
      </c>
      <c r="I21" s="6">
        <v>0.47716777800000898</v>
      </c>
      <c r="J21" s="13">
        <v>-8.3999999999999773</v>
      </c>
      <c r="K21" s="6">
        <v>0.21399999999999864</v>
      </c>
      <c r="L21" s="6">
        <v>1.1620000000000346</v>
      </c>
    </row>
    <row r="22" spans="1:12" x14ac:dyDescent="0.35">
      <c r="A22">
        <v>7</v>
      </c>
      <c r="B22" s="2" t="s">
        <v>37</v>
      </c>
      <c r="C22">
        <v>2019</v>
      </c>
      <c r="F22" s="6">
        <v>-0.13600000000000101</v>
      </c>
      <c r="G22" s="6">
        <v>-0.97599999999999909</v>
      </c>
      <c r="H22" s="6">
        <v>2.4733288010970753</v>
      </c>
      <c r="I22" s="6">
        <v>1.4373178559999928</v>
      </c>
      <c r="J22" s="13">
        <v>-7.6000000000000227</v>
      </c>
      <c r="K22" s="6">
        <v>0.24000000000000199</v>
      </c>
      <c r="L22" s="6">
        <v>-5.0580000000000211</v>
      </c>
    </row>
    <row r="23" spans="1:12" x14ac:dyDescent="0.35">
      <c r="A23">
        <v>8</v>
      </c>
      <c r="B23" s="2" t="s">
        <v>38</v>
      </c>
      <c r="C23">
        <v>2019</v>
      </c>
      <c r="F23" s="6">
        <v>-1.9999999999997797E-3</v>
      </c>
      <c r="G23" s="6">
        <v>-2.6819999999999951</v>
      </c>
      <c r="H23" s="6">
        <v>1.7273927165861807</v>
      </c>
      <c r="I23" s="6">
        <v>0.96898510200000487</v>
      </c>
      <c r="J23" s="13">
        <v>-0.39999999999997726</v>
      </c>
      <c r="K23" s="6">
        <v>6.0000000000000497E-2</v>
      </c>
      <c r="L23" s="6">
        <v>-1.1800000000000068</v>
      </c>
    </row>
    <row r="24" spans="1:12" x14ac:dyDescent="0.35">
      <c r="A24">
        <v>9</v>
      </c>
      <c r="B24" s="2" t="s">
        <v>39</v>
      </c>
      <c r="C24">
        <v>2019</v>
      </c>
      <c r="F24" s="6">
        <v>-0.19599999999999973</v>
      </c>
      <c r="G24" s="6">
        <v>-0.60800000000000054</v>
      </c>
      <c r="H24" s="6">
        <v>2.7525865772013134</v>
      </c>
      <c r="I24" s="6">
        <v>-0.96811770400000796</v>
      </c>
      <c r="J24" s="13">
        <v>0.19999999999998863</v>
      </c>
      <c r="K24" s="6">
        <v>-0.69199999999999662</v>
      </c>
      <c r="L24" s="6">
        <v>3.4619999999999891</v>
      </c>
    </row>
    <row r="25" spans="1:12" x14ac:dyDescent="0.35">
      <c r="A25">
        <v>10</v>
      </c>
      <c r="B25" s="2" t="s">
        <v>40</v>
      </c>
      <c r="C25">
        <v>2019</v>
      </c>
      <c r="F25" s="6">
        <v>-0.16600000000000037</v>
      </c>
      <c r="G25" s="6">
        <v>0.42000000000000171</v>
      </c>
      <c r="H25" s="6">
        <v>4.4858050123259829</v>
      </c>
      <c r="I25" s="6">
        <v>-0.44924492399999849</v>
      </c>
      <c r="J25" s="13">
        <v>-1</v>
      </c>
      <c r="K25" s="6">
        <v>0.12399999999999878</v>
      </c>
      <c r="L25" s="6">
        <v>-7.2880000000000109</v>
      </c>
    </row>
    <row r="26" spans="1:12" x14ac:dyDescent="0.35">
      <c r="A26">
        <v>11</v>
      </c>
      <c r="B26" s="2" t="s">
        <v>41</v>
      </c>
      <c r="C26">
        <v>2019</v>
      </c>
      <c r="F26" s="6">
        <v>-1.9999999999999574E-2</v>
      </c>
      <c r="G26" s="6">
        <v>1.1899999999999977</v>
      </c>
      <c r="H26" s="6">
        <v>5.4900080092008778</v>
      </c>
      <c r="I26" s="6">
        <v>1.2494837100000069</v>
      </c>
      <c r="J26" s="13">
        <v>-0.59999999999999432</v>
      </c>
      <c r="K26" s="6">
        <v>8.9999999999999858E-2</v>
      </c>
      <c r="L26" s="6">
        <v>-0.33800000000007913</v>
      </c>
    </row>
    <row r="27" spans="1:12" x14ac:dyDescent="0.35">
      <c r="A27">
        <v>12</v>
      </c>
      <c r="B27" s="2" t="s">
        <v>42</v>
      </c>
      <c r="C27">
        <v>2019</v>
      </c>
      <c r="F27" s="6">
        <v>-7.6000000000000512E-2</v>
      </c>
      <c r="G27" s="6">
        <v>-2.1999999999998465E-2</v>
      </c>
      <c r="H27" s="6">
        <v>3.1921979220146781</v>
      </c>
      <c r="I27" s="6">
        <v>-0.21180402599999582</v>
      </c>
      <c r="J27" s="13">
        <v>1.1999999999999886</v>
      </c>
      <c r="K27" s="6">
        <v>-0.14400000000000013</v>
      </c>
      <c r="L27" s="6">
        <v>-1.7860000000000014</v>
      </c>
    </row>
    <row r="28" spans="1:12" x14ac:dyDescent="0.35">
      <c r="A28">
        <v>13</v>
      </c>
      <c r="B28" s="2" t="s">
        <v>43</v>
      </c>
      <c r="C28">
        <v>2019</v>
      </c>
      <c r="F28" s="6">
        <v>-7.5999999999998735E-2</v>
      </c>
      <c r="G28" s="6">
        <v>-0.20599999999999596</v>
      </c>
      <c r="H28" s="6">
        <v>-0.90711171760216303</v>
      </c>
      <c r="I28" s="6">
        <v>-0.69358537400000841</v>
      </c>
      <c r="J28" s="13">
        <v>0.60000000000002274</v>
      </c>
      <c r="K28" s="6">
        <v>0.32999999999999474</v>
      </c>
      <c r="L28" s="6">
        <v>2.660000000000025</v>
      </c>
    </row>
    <row r="29" spans="1:12" x14ac:dyDescent="0.35">
      <c r="A29">
        <v>14</v>
      </c>
      <c r="B29" s="2" t="s">
        <v>44</v>
      </c>
      <c r="C29">
        <v>2019</v>
      </c>
      <c r="F29" s="6">
        <v>-0.13399999999999945</v>
      </c>
      <c r="G29" s="6">
        <v>0.22000000000000597</v>
      </c>
      <c r="H29" s="6">
        <v>2.5031853598293452</v>
      </c>
      <c r="I29" s="6">
        <v>-1.626750708000003</v>
      </c>
      <c r="J29" s="13">
        <v>-8.3999999999999773</v>
      </c>
      <c r="K29" s="6">
        <v>1.1840000000000011</v>
      </c>
      <c r="L29" s="6">
        <v>-1.3240000000000123</v>
      </c>
    </row>
    <row r="30" spans="1:12" x14ac:dyDescent="0.35">
      <c r="A30">
        <v>1</v>
      </c>
      <c r="B30" s="2" t="s">
        <v>31</v>
      </c>
      <c r="C30">
        <v>2020</v>
      </c>
      <c r="F30" s="6">
        <v>0</v>
      </c>
      <c r="G30" s="6">
        <v>-3.0720000000000027</v>
      </c>
      <c r="H30" s="6">
        <v>-3.3245988925659233</v>
      </c>
      <c r="I30" s="6">
        <v>-1.2248647420000083</v>
      </c>
      <c r="J30" s="13">
        <v>-5.3999999999999773</v>
      </c>
      <c r="K30" s="6">
        <v>-0.10800000000000054</v>
      </c>
      <c r="L30" s="6">
        <v>0.70600000000001728</v>
      </c>
    </row>
    <row r="31" spans="1:12" x14ac:dyDescent="0.35">
      <c r="A31">
        <v>2</v>
      </c>
      <c r="B31" s="2" t="s">
        <v>32</v>
      </c>
      <c r="C31">
        <v>2020</v>
      </c>
      <c r="F31" s="6">
        <v>8.8000000000000078E-2</v>
      </c>
      <c r="G31" s="6">
        <v>-2.269999999999996</v>
      </c>
      <c r="H31" s="6">
        <v>-3.3323079737502752</v>
      </c>
      <c r="I31" s="6">
        <v>0.82195307799999284</v>
      </c>
      <c r="J31" s="13">
        <v>1</v>
      </c>
      <c r="K31" s="6">
        <v>-0.33399999999999963</v>
      </c>
      <c r="L31" s="6">
        <v>-0.71199999999998909</v>
      </c>
    </row>
    <row r="32" spans="1:12" x14ac:dyDescent="0.35">
      <c r="A32">
        <v>3</v>
      </c>
      <c r="B32" s="2" t="s">
        <v>33</v>
      </c>
      <c r="C32">
        <v>2020</v>
      </c>
      <c r="F32" s="6">
        <v>-3.9999999999995595E-3</v>
      </c>
      <c r="G32" s="6">
        <v>-1.3119999999999941</v>
      </c>
      <c r="H32" s="6">
        <v>-3.3509387247126625</v>
      </c>
      <c r="I32" s="6">
        <v>-0.349240714000004</v>
      </c>
      <c r="J32" s="13">
        <v>-4.2000000000000455</v>
      </c>
      <c r="K32" s="6">
        <v>0.57199999999999918</v>
      </c>
      <c r="L32" s="6">
        <v>-0.96200000000004593</v>
      </c>
    </row>
    <row r="33" spans="1:12" x14ac:dyDescent="0.35">
      <c r="A33">
        <v>4</v>
      </c>
      <c r="B33" s="2" t="s">
        <v>34</v>
      </c>
      <c r="C33">
        <v>2020</v>
      </c>
      <c r="F33" s="6">
        <v>9.2000000000000526E-2</v>
      </c>
      <c r="G33" s="6">
        <v>-1.7780000000000022</v>
      </c>
      <c r="H33" s="6">
        <v>-2.8523031618466561</v>
      </c>
      <c r="I33" s="6">
        <v>1.0207353599999891</v>
      </c>
      <c r="J33" s="13">
        <v>1.1999999999999886</v>
      </c>
      <c r="K33" s="6">
        <v>-0.65000000000000036</v>
      </c>
      <c r="L33" s="6">
        <v>-15.877999999999986</v>
      </c>
    </row>
    <row r="34" spans="1:12" x14ac:dyDescent="0.35">
      <c r="A34">
        <v>5</v>
      </c>
      <c r="B34" s="2" t="s">
        <v>35</v>
      </c>
      <c r="C34">
        <v>2020</v>
      </c>
      <c r="F34" s="6">
        <v>-1.8000000000000682E-2</v>
      </c>
      <c r="G34" s="6">
        <v>-1.6359999999999957</v>
      </c>
      <c r="H34" s="6">
        <v>-1.85636736346612</v>
      </c>
      <c r="I34" s="6">
        <v>1.9958701939999912</v>
      </c>
      <c r="J34" s="13">
        <v>-1.3999999999999773</v>
      </c>
      <c r="K34" s="6">
        <v>-0.84200000000000053</v>
      </c>
      <c r="L34" s="6">
        <v>10.197999999999979</v>
      </c>
    </row>
    <row r="35" spans="1:12" x14ac:dyDescent="0.35">
      <c r="A35">
        <v>6</v>
      </c>
      <c r="B35" s="2" t="s">
        <v>36</v>
      </c>
      <c r="C35">
        <v>2020</v>
      </c>
      <c r="F35" s="6">
        <v>0</v>
      </c>
      <c r="G35" s="6">
        <v>-3.4960000000000022</v>
      </c>
      <c r="H35" s="6">
        <v>-2.5249636359334673</v>
      </c>
      <c r="I35" s="6">
        <v>0.72478618800001016</v>
      </c>
      <c r="J35" s="13">
        <v>-2.3999999999999773</v>
      </c>
      <c r="K35" s="6">
        <v>-0.73600000000000065</v>
      </c>
      <c r="L35" s="6">
        <v>-7.9379999999999598</v>
      </c>
    </row>
    <row r="36" spans="1:12" x14ac:dyDescent="0.35">
      <c r="A36">
        <v>7</v>
      </c>
      <c r="B36" s="2" t="s">
        <v>37</v>
      </c>
      <c r="C36">
        <v>2020</v>
      </c>
      <c r="F36" s="6">
        <v>4.3999999999999595E-2</v>
      </c>
      <c r="G36" s="6">
        <v>-1.1159999999999997</v>
      </c>
      <c r="H36" s="6">
        <v>-1.586671198902927</v>
      </c>
      <c r="I36" s="6">
        <v>0.81931331599999169</v>
      </c>
      <c r="J36" s="13">
        <v>-3.6000000000000227</v>
      </c>
      <c r="K36" s="6">
        <v>-0.83999999999999808</v>
      </c>
      <c r="L36" s="6">
        <v>8.7620000000000005</v>
      </c>
    </row>
    <row r="37" spans="1:12" x14ac:dyDescent="0.35">
      <c r="A37">
        <v>8</v>
      </c>
      <c r="B37" s="2" t="s">
        <v>38</v>
      </c>
      <c r="C37">
        <v>2020</v>
      </c>
      <c r="F37" s="6">
        <v>4.8000000000000043E-2</v>
      </c>
      <c r="G37" s="6">
        <v>-0.78199999999999648</v>
      </c>
      <c r="H37" s="6">
        <v>-1.2026072834138191</v>
      </c>
      <c r="I37" s="6">
        <v>4.0578342000003431E-2</v>
      </c>
      <c r="J37" s="13">
        <v>-0.39999999999997726</v>
      </c>
      <c r="K37" s="6">
        <v>-0.39000000000000057</v>
      </c>
      <c r="L37" s="6">
        <v>-0.77000000000003865</v>
      </c>
    </row>
    <row r="38" spans="1:12" x14ac:dyDescent="0.35">
      <c r="A38">
        <v>9</v>
      </c>
      <c r="B38" s="2" t="s">
        <v>39</v>
      </c>
      <c r="C38">
        <v>2020</v>
      </c>
      <c r="F38" s="6">
        <v>3.4000000000000696E-2</v>
      </c>
      <c r="G38" s="6">
        <v>-1.468</v>
      </c>
      <c r="H38" s="6">
        <v>-1.8774134227986892</v>
      </c>
      <c r="I38" s="6">
        <v>0.15902892599999063</v>
      </c>
      <c r="J38" s="13">
        <v>-0.80000000000001137</v>
      </c>
      <c r="K38" s="6">
        <v>-0.92199999999999704</v>
      </c>
      <c r="L38" s="6">
        <v>-12.238</v>
      </c>
    </row>
    <row r="39" spans="1:12" x14ac:dyDescent="0.35">
      <c r="A39">
        <v>10</v>
      </c>
      <c r="B39" s="2" t="s">
        <v>40</v>
      </c>
      <c r="C39">
        <v>2020</v>
      </c>
      <c r="F39" s="6">
        <v>-7.6000000000000512E-2</v>
      </c>
      <c r="G39" s="6">
        <v>-1.3399999999999963</v>
      </c>
      <c r="H39" s="6">
        <v>-2.7641949876740171</v>
      </c>
      <c r="I39" s="6">
        <v>-0.44437378400000682</v>
      </c>
      <c r="J39" s="13">
        <v>0</v>
      </c>
      <c r="K39" s="6">
        <v>-0.40600000000000236</v>
      </c>
      <c r="L39" s="6">
        <v>19.032000000000011</v>
      </c>
    </row>
    <row r="40" spans="1:12" x14ac:dyDescent="0.35">
      <c r="A40">
        <v>11</v>
      </c>
      <c r="B40" s="2" t="s">
        <v>41</v>
      </c>
      <c r="C40">
        <v>2020</v>
      </c>
      <c r="F40" s="6">
        <v>-9.9999999999997868E-3</v>
      </c>
      <c r="G40" s="6">
        <v>-2.240000000000002</v>
      </c>
      <c r="H40" s="6">
        <v>-3.3099919907991193</v>
      </c>
      <c r="I40" s="6">
        <v>-1.5088262499999985</v>
      </c>
      <c r="J40" s="13">
        <v>-0.59999999999999432</v>
      </c>
      <c r="K40" s="6">
        <v>-0.24000000000000021</v>
      </c>
      <c r="L40" s="6">
        <v>0.75199999999995271</v>
      </c>
    </row>
    <row r="41" spans="1:12" x14ac:dyDescent="0.35">
      <c r="A41">
        <v>12</v>
      </c>
      <c r="B41" s="2" t="s">
        <v>42</v>
      </c>
      <c r="C41">
        <v>2020</v>
      </c>
      <c r="F41" s="6">
        <v>-6.6000000000000725E-2</v>
      </c>
      <c r="G41" s="6">
        <v>-2.7920000000000016</v>
      </c>
      <c r="H41" s="6">
        <v>-2.0078020779853176</v>
      </c>
      <c r="I41" s="6">
        <v>-1.567379705999997</v>
      </c>
      <c r="J41" s="13">
        <v>1.1999999999999886</v>
      </c>
      <c r="K41" s="6">
        <v>-0.54400000000000048</v>
      </c>
      <c r="L41" s="6">
        <v>6.8239999999999554</v>
      </c>
    </row>
    <row r="42" spans="1:12" x14ac:dyDescent="0.35">
      <c r="A42">
        <v>13</v>
      </c>
      <c r="B42" s="2" t="s">
        <v>43</v>
      </c>
      <c r="C42">
        <v>2020</v>
      </c>
      <c r="F42" s="6">
        <v>-4.5999999999999375E-2</v>
      </c>
      <c r="G42" s="6">
        <v>-2.9059999999999988</v>
      </c>
      <c r="H42" s="6">
        <v>0.6928882823978384</v>
      </c>
      <c r="I42" s="6">
        <v>0.14527707599999928</v>
      </c>
      <c r="J42" s="13">
        <v>-1.3999999999999773</v>
      </c>
      <c r="K42" s="6">
        <v>-0.85000000000000497</v>
      </c>
      <c r="L42" s="6">
        <v>-7.8100000000000023</v>
      </c>
    </row>
    <row r="43" spans="1:12" x14ac:dyDescent="0.35">
      <c r="A43">
        <v>14</v>
      </c>
      <c r="B43" s="2" t="s">
        <v>44</v>
      </c>
      <c r="C43">
        <v>2020</v>
      </c>
      <c r="F43" s="6">
        <v>3.6000000000000476E-2</v>
      </c>
      <c r="G43" s="6">
        <v>-2.5899999999999963</v>
      </c>
      <c r="H43" s="6">
        <v>-1.5768146401706531</v>
      </c>
      <c r="I43" s="6">
        <v>0.5057300920000074</v>
      </c>
      <c r="J43" s="13">
        <v>-2.3999999999999773</v>
      </c>
      <c r="K43" s="6">
        <v>-0.83600000000000207</v>
      </c>
      <c r="L43" s="6">
        <v>-4.2539999999999623</v>
      </c>
    </row>
    <row r="44" spans="1:12" x14ac:dyDescent="0.35">
      <c r="A44">
        <v>1</v>
      </c>
      <c r="B44" s="12" t="s">
        <v>31</v>
      </c>
      <c r="C44">
        <v>2021</v>
      </c>
      <c r="F44" s="6">
        <v>1.0000000000000675E-2</v>
      </c>
      <c r="G44" s="6">
        <v>-0.93200000000000216</v>
      </c>
      <c r="H44" s="6">
        <v>-3.474598892565929</v>
      </c>
      <c r="I44" s="6">
        <v>1.4701352579999991</v>
      </c>
      <c r="J44" s="13">
        <v>-2.3999999999999773</v>
      </c>
      <c r="K44" s="6">
        <v>1.3620000000000019</v>
      </c>
      <c r="L44" s="6">
        <v>0.6360000000000241</v>
      </c>
    </row>
    <row r="45" spans="1:12" x14ac:dyDescent="0.35">
      <c r="A45">
        <v>2</v>
      </c>
      <c r="B45" s="12" t="s">
        <v>32</v>
      </c>
      <c r="C45">
        <v>2021</v>
      </c>
      <c r="F45" s="6">
        <v>0.12800000000000011</v>
      </c>
      <c r="G45" s="6">
        <v>-0.52999999999999403</v>
      </c>
      <c r="H45" s="6">
        <v>-3.5023079737502769</v>
      </c>
      <c r="I45" s="6">
        <v>-0.12804692199999579</v>
      </c>
      <c r="J45" s="13">
        <v>1</v>
      </c>
      <c r="K45" s="6">
        <v>0.82600000000000051</v>
      </c>
      <c r="L45" s="6">
        <v>2.7480000000000473</v>
      </c>
    </row>
    <row r="46" spans="1:12" x14ac:dyDescent="0.35">
      <c r="A46">
        <v>3</v>
      </c>
      <c r="B46" s="12" t="s">
        <v>33</v>
      </c>
      <c r="C46">
        <v>2021</v>
      </c>
      <c r="F46" s="6">
        <v>6.0000000000002274E-3</v>
      </c>
      <c r="G46" s="6">
        <v>0.63800000000000523</v>
      </c>
      <c r="H46" s="6">
        <v>-3.5209387247126642</v>
      </c>
      <c r="I46" s="6">
        <v>-5.5240713999992863E-2</v>
      </c>
      <c r="J46" s="13">
        <v>-3.2000000000000455</v>
      </c>
      <c r="K46" s="6">
        <v>0.49200000000000088</v>
      </c>
      <c r="L46" s="6">
        <v>0.6279999999999859</v>
      </c>
    </row>
    <row r="47" spans="1:12" x14ac:dyDescent="0.35">
      <c r="A47">
        <v>4</v>
      </c>
      <c r="B47" s="12" t="s">
        <v>34</v>
      </c>
      <c r="C47">
        <v>2021</v>
      </c>
      <c r="F47" s="6">
        <v>0.10200000000000031</v>
      </c>
      <c r="G47" s="6">
        <v>-0.39800000000000324</v>
      </c>
      <c r="H47" s="6">
        <v>-2.9123031618466584</v>
      </c>
      <c r="I47" s="6">
        <v>-6.6264639999999986E-2</v>
      </c>
      <c r="J47" s="13">
        <v>-1.8000000000000114</v>
      </c>
      <c r="K47" s="6">
        <v>0.78999999999999915</v>
      </c>
      <c r="L47" s="6">
        <v>4.79200000000003</v>
      </c>
    </row>
    <row r="48" spans="1:12" x14ac:dyDescent="0.35">
      <c r="A48">
        <v>5</v>
      </c>
      <c r="B48" s="12" t="s">
        <v>35</v>
      </c>
      <c r="C48">
        <v>2021</v>
      </c>
      <c r="F48" s="6">
        <v>0.22199999999999864</v>
      </c>
      <c r="G48" s="6">
        <v>1.6540000000000035</v>
      </c>
      <c r="H48" s="6">
        <v>-2.0463673634661177</v>
      </c>
      <c r="I48" s="6">
        <v>0.34887019399999986</v>
      </c>
      <c r="J48" s="13">
        <v>-0.39999999999997726</v>
      </c>
      <c r="K48" s="6">
        <v>1.2379999999999995</v>
      </c>
      <c r="L48" s="6">
        <v>-3.1019999999999754</v>
      </c>
    </row>
    <row r="49" spans="1:12" x14ac:dyDescent="0.35">
      <c r="A49">
        <v>6</v>
      </c>
      <c r="B49" s="12" t="s">
        <v>36</v>
      </c>
      <c r="C49">
        <v>2021</v>
      </c>
      <c r="F49" s="6">
        <v>0.15000000000000036</v>
      </c>
      <c r="G49" s="6">
        <v>0.55399999999999494</v>
      </c>
      <c r="H49" s="6">
        <v>-2.704963635933467</v>
      </c>
      <c r="I49" s="6">
        <v>-0.60221381199998802</v>
      </c>
      <c r="J49" s="13">
        <v>6.6000000000000227</v>
      </c>
      <c r="K49" s="6">
        <v>0.20399999999999885</v>
      </c>
      <c r="L49" s="6">
        <v>3.0820000000000221</v>
      </c>
    </row>
    <row r="50" spans="1:12" x14ac:dyDescent="0.35">
      <c r="A50">
        <v>7</v>
      </c>
      <c r="B50" s="12" t="s">
        <v>37</v>
      </c>
      <c r="C50">
        <v>2021</v>
      </c>
      <c r="F50" s="6">
        <v>5.3999999999999382E-2</v>
      </c>
      <c r="G50" s="6">
        <v>1.1340000000000003</v>
      </c>
      <c r="H50" s="6">
        <v>-1.7666711989029267</v>
      </c>
      <c r="I50" s="6">
        <v>-2.0196866840000069</v>
      </c>
      <c r="J50" s="13">
        <v>6.3999999999999773</v>
      </c>
      <c r="K50" s="6">
        <v>0.50000000000000355</v>
      </c>
      <c r="L50" s="6">
        <v>-1.117999999999995</v>
      </c>
    </row>
    <row r="51" spans="1:12" x14ac:dyDescent="0.35">
      <c r="A51">
        <v>8</v>
      </c>
      <c r="B51" s="12" t="s">
        <v>38</v>
      </c>
      <c r="C51">
        <v>2021</v>
      </c>
      <c r="F51" s="6">
        <v>5.8000000000000718E-2</v>
      </c>
      <c r="G51" s="6">
        <v>2.1780000000000044</v>
      </c>
      <c r="H51" s="6">
        <v>-1.4426072834138211</v>
      </c>
      <c r="I51" s="6">
        <v>-0.52942165800000396</v>
      </c>
      <c r="J51" s="13">
        <v>-0.39999999999997726</v>
      </c>
      <c r="K51" s="6">
        <v>0.52999999999999936</v>
      </c>
      <c r="L51" s="6">
        <v>1.2399999999999523</v>
      </c>
    </row>
    <row r="52" spans="1:12" x14ac:dyDescent="0.35">
      <c r="A52">
        <v>9</v>
      </c>
      <c r="B52" s="12" t="s">
        <v>39</v>
      </c>
      <c r="C52">
        <v>2021</v>
      </c>
      <c r="F52" s="6">
        <v>5.400000000000027E-2</v>
      </c>
      <c r="G52" s="6">
        <v>0.99199999999999733</v>
      </c>
      <c r="H52" s="6">
        <v>-2.0374134227986858</v>
      </c>
      <c r="I52" s="6">
        <v>0.47102892599998825</v>
      </c>
      <c r="J52" s="13">
        <v>0.19999999999998863</v>
      </c>
      <c r="K52" s="6">
        <v>1.4280000000000044</v>
      </c>
      <c r="L52" s="6">
        <v>4.2119999999999891</v>
      </c>
    </row>
    <row r="53" spans="1:12" x14ac:dyDescent="0.35">
      <c r="A53">
        <v>10</v>
      </c>
      <c r="B53" s="12" t="s">
        <v>40</v>
      </c>
      <c r="C53">
        <v>2021</v>
      </c>
      <c r="F53" s="6">
        <v>7.3999999999999844E-2</v>
      </c>
      <c r="G53" s="6">
        <v>7.0000000000000284E-2</v>
      </c>
      <c r="H53" s="6">
        <v>-3.1441949876740125</v>
      </c>
      <c r="I53" s="6">
        <v>1.4966262159999957</v>
      </c>
      <c r="J53" s="13">
        <v>1</v>
      </c>
      <c r="K53" s="6">
        <v>-5.6000000000000938E-2</v>
      </c>
      <c r="L53" s="6">
        <v>-3.7079999999999984</v>
      </c>
    </row>
    <row r="54" spans="1:12" x14ac:dyDescent="0.35">
      <c r="A54">
        <v>11</v>
      </c>
      <c r="B54" s="12" t="s">
        <v>41</v>
      </c>
      <c r="C54">
        <v>2021</v>
      </c>
      <c r="F54" s="6">
        <v>0</v>
      </c>
      <c r="G54" s="6">
        <v>-0.21000000000000085</v>
      </c>
      <c r="H54" s="6">
        <v>-3.489991990799119</v>
      </c>
      <c r="I54" s="6">
        <v>0.62517375000000186</v>
      </c>
      <c r="J54" s="13">
        <v>0.40000000000000568</v>
      </c>
      <c r="K54" s="6">
        <v>0.28999999999999915</v>
      </c>
      <c r="L54" s="6">
        <v>7.1999999999945885E-2</v>
      </c>
    </row>
    <row r="55" spans="1:12" x14ac:dyDescent="0.35">
      <c r="A55">
        <v>12</v>
      </c>
      <c r="B55" s="12" t="s">
        <v>42</v>
      </c>
      <c r="C55">
        <v>2021</v>
      </c>
      <c r="F55" s="6">
        <v>0.1039999999999992</v>
      </c>
      <c r="G55" s="6">
        <v>0.50800000000000267</v>
      </c>
      <c r="H55" s="6">
        <v>-2.1878020779853173</v>
      </c>
      <c r="I55" s="6">
        <v>0.25562029400001052</v>
      </c>
      <c r="J55" s="13">
        <v>-1.8000000000000114</v>
      </c>
      <c r="K55" s="6">
        <v>0.74600000000000044</v>
      </c>
      <c r="L55" s="6">
        <v>0.67399999999997817</v>
      </c>
    </row>
    <row r="56" spans="1:12" x14ac:dyDescent="0.35">
      <c r="A56">
        <v>13</v>
      </c>
      <c r="B56" s="12" t="s">
        <v>43</v>
      </c>
      <c r="C56">
        <v>2021</v>
      </c>
      <c r="F56" s="6">
        <v>0.21400000000000041</v>
      </c>
      <c r="G56" s="6">
        <v>0.50400000000000489</v>
      </c>
      <c r="H56" s="6">
        <v>0.57288828239784095</v>
      </c>
      <c r="I56" s="6">
        <v>0.63127707599998928</v>
      </c>
      <c r="J56" s="13">
        <v>-0.39999999999997726</v>
      </c>
      <c r="K56" s="6">
        <v>0.28999999999999559</v>
      </c>
      <c r="L56" s="6">
        <v>2.8000000000000114</v>
      </c>
    </row>
    <row r="57" spans="1:12" x14ac:dyDescent="0.35">
      <c r="A57">
        <v>14</v>
      </c>
      <c r="B57" s="12" t="s">
        <v>44</v>
      </c>
      <c r="C57">
        <v>2021</v>
      </c>
      <c r="F57" s="6">
        <v>4.6000000000001151E-2</v>
      </c>
      <c r="G57" s="6">
        <v>6.0000000000002274E-2</v>
      </c>
      <c r="H57" s="6">
        <v>-1.7168146401706537</v>
      </c>
      <c r="I57" s="6">
        <v>-0.68426990800000453</v>
      </c>
      <c r="J57" s="13">
        <v>6.6000000000000227</v>
      </c>
      <c r="K57" s="6">
        <v>-0.34600000000000009</v>
      </c>
      <c r="L57" s="6">
        <v>3.7060000000000173</v>
      </c>
    </row>
    <row r="58" spans="1:12" x14ac:dyDescent="0.35">
      <c r="A58">
        <v>1</v>
      </c>
      <c r="B58" s="12" t="s">
        <v>31</v>
      </c>
      <c r="C58">
        <v>2022</v>
      </c>
      <c r="F58" s="6">
        <v>3.0000000000001137E-2</v>
      </c>
      <c r="G58" s="6">
        <v>1.8079999999999927</v>
      </c>
      <c r="H58" s="6">
        <v>-3.5945988925659265</v>
      </c>
      <c r="I58" s="6">
        <v>0.77013525799999627</v>
      </c>
      <c r="J58" s="13">
        <v>-2.3999999999999773</v>
      </c>
      <c r="K58" s="6">
        <v>-1.1879999999999988</v>
      </c>
      <c r="L58" s="6">
        <v>-0.8639999999999759</v>
      </c>
    </row>
    <row r="59" spans="1:12" x14ac:dyDescent="0.35">
      <c r="A59">
        <v>2</v>
      </c>
      <c r="B59" s="12" t="s">
        <v>32</v>
      </c>
      <c r="C59">
        <v>2022</v>
      </c>
      <c r="F59" s="6">
        <v>0.32800000000000029</v>
      </c>
      <c r="G59" s="6">
        <v>2.220000000000006</v>
      </c>
      <c r="H59" s="6">
        <v>-3.6423079737502775</v>
      </c>
      <c r="I59" s="6">
        <v>1.6819530779999923</v>
      </c>
      <c r="J59" s="13">
        <v>2</v>
      </c>
      <c r="K59" s="6">
        <v>-0.85400000000000098</v>
      </c>
      <c r="L59" s="6">
        <v>2.2580000000000382</v>
      </c>
    </row>
    <row r="60" spans="1:12" x14ac:dyDescent="0.35">
      <c r="A60">
        <v>3</v>
      </c>
      <c r="B60" s="12" t="s">
        <v>33</v>
      </c>
      <c r="C60">
        <v>2022</v>
      </c>
      <c r="F60" s="6">
        <v>3.6000000000000476E-2</v>
      </c>
      <c r="G60" s="6">
        <v>3.1880000000000059</v>
      </c>
      <c r="H60" s="6">
        <v>-3.6709387247126628</v>
      </c>
      <c r="I60" s="6">
        <v>5.4759286000006568E-2</v>
      </c>
      <c r="J60" s="13">
        <v>-2.2000000000000455</v>
      </c>
      <c r="K60" s="6">
        <v>-1.6579999999999995</v>
      </c>
      <c r="L60" s="6">
        <v>1.6379999999999768</v>
      </c>
    </row>
    <row r="61" spans="1:12" x14ac:dyDescent="0.35">
      <c r="A61">
        <v>4</v>
      </c>
      <c r="B61" s="12" t="s">
        <v>34</v>
      </c>
      <c r="C61">
        <v>2022</v>
      </c>
      <c r="F61" s="6">
        <v>0.23200000000000021</v>
      </c>
      <c r="G61" s="6">
        <v>1.902000000000001</v>
      </c>
      <c r="H61" s="6">
        <v>-2.9523031618466575</v>
      </c>
      <c r="I61" s="6">
        <v>0.19373535999999092</v>
      </c>
      <c r="J61" s="13">
        <v>-0.80000000000001137</v>
      </c>
      <c r="K61" s="6">
        <v>-0.77999999999999936</v>
      </c>
      <c r="L61" s="6">
        <v>3.7820000000000391</v>
      </c>
    </row>
    <row r="62" spans="1:12" x14ac:dyDescent="0.35">
      <c r="A62">
        <v>5</v>
      </c>
      <c r="B62" s="12" t="s">
        <v>35</v>
      </c>
      <c r="C62">
        <v>2022</v>
      </c>
      <c r="F62" s="6">
        <v>0.2419999999999991</v>
      </c>
      <c r="G62" s="6">
        <v>5.6439999999999984</v>
      </c>
      <c r="H62" s="6">
        <v>-2.1963673634661163</v>
      </c>
      <c r="I62" s="6">
        <v>0.34887019399999986</v>
      </c>
      <c r="J62" s="13">
        <v>0.60000000000002274</v>
      </c>
      <c r="K62" s="6">
        <v>-1.2320000000000011</v>
      </c>
      <c r="L62" s="6">
        <v>-1.2319999999999993</v>
      </c>
    </row>
    <row r="63" spans="1:12" x14ac:dyDescent="0.35">
      <c r="A63">
        <v>6</v>
      </c>
      <c r="B63" s="12" t="s">
        <v>36</v>
      </c>
      <c r="C63">
        <v>2022</v>
      </c>
      <c r="F63" s="6">
        <v>0.17000000000000082</v>
      </c>
      <c r="G63" s="6">
        <v>5.2239999999999966</v>
      </c>
      <c r="H63" s="6">
        <v>-2.8549636359334656</v>
      </c>
      <c r="I63" s="6">
        <v>0.8377861880000097</v>
      </c>
      <c r="J63" s="13">
        <v>13.600000000000023</v>
      </c>
      <c r="K63" s="6">
        <v>-1.2060000000000013</v>
      </c>
      <c r="L63" s="6">
        <v>2.3520000000000039</v>
      </c>
    </row>
    <row r="64" spans="1:12" x14ac:dyDescent="0.35">
      <c r="A64">
        <v>7</v>
      </c>
      <c r="B64" s="12" t="s">
        <v>37</v>
      </c>
      <c r="C64">
        <v>2022</v>
      </c>
      <c r="F64" s="6">
        <v>0.33399999999999963</v>
      </c>
      <c r="G64" s="6">
        <v>4.6039999999999992</v>
      </c>
      <c r="H64" s="6">
        <v>-1.9266711989029233</v>
      </c>
      <c r="I64" s="6">
        <v>0.18031331599999589</v>
      </c>
      <c r="J64" s="13">
        <v>13.399999999999977</v>
      </c>
      <c r="K64" s="6">
        <v>-1.639999999999997</v>
      </c>
      <c r="L64" s="6">
        <v>-0.55799999999999272</v>
      </c>
    </row>
    <row r="65" spans="1:12" x14ac:dyDescent="0.35">
      <c r="A65">
        <v>8</v>
      </c>
      <c r="B65" s="12" t="s">
        <v>38</v>
      </c>
      <c r="C65">
        <v>2022</v>
      </c>
      <c r="F65" s="6">
        <v>0.11800000000000033</v>
      </c>
      <c r="G65" s="6">
        <v>6.338000000000001</v>
      </c>
      <c r="H65" s="6">
        <v>-1.6426072834138239</v>
      </c>
      <c r="I65" s="6">
        <v>-0.34942165799999714</v>
      </c>
      <c r="J65" s="13">
        <v>0.60000000000002274</v>
      </c>
      <c r="K65" s="6">
        <v>-1.7000000000000011</v>
      </c>
      <c r="L65" s="6">
        <v>-1.3400000000000318</v>
      </c>
    </row>
    <row r="66" spans="1:12" x14ac:dyDescent="0.35">
      <c r="A66">
        <v>9</v>
      </c>
      <c r="B66" s="12" t="s">
        <v>39</v>
      </c>
      <c r="C66">
        <v>2022</v>
      </c>
      <c r="F66" s="6">
        <v>0.32400000000000073</v>
      </c>
      <c r="G66" s="6">
        <v>4.2520000000000024</v>
      </c>
      <c r="H66" s="6">
        <v>-2.1674134227986883</v>
      </c>
      <c r="I66" s="6">
        <v>1.0310289259999905</v>
      </c>
      <c r="J66" s="13">
        <v>0.19999999999998863</v>
      </c>
      <c r="K66" s="6">
        <v>-0.75199999999999712</v>
      </c>
      <c r="L66" s="6">
        <v>0.89199999999999591</v>
      </c>
    </row>
    <row r="67" spans="1:12" x14ac:dyDescent="0.35">
      <c r="A67">
        <v>10</v>
      </c>
      <c r="B67" s="12" t="s">
        <v>40</v>
      </c>
      <c r="C67">
        <v>2022</v>
      </c>
      <c r="F67" s="6">
        <v>0.34399999999999942</v>
      </c>
      <c r="G67" s="6">
        <v>2.0200000000000031</v>
      </c>
      <c r="H67" s="6">
        <v>-3.2841949876740131</v>
      </c>
      <c r="I67" s="6">
        <v>-0.90337378399999579</v>
      </c>
      <c r="J67" s="13">
        <v>3</v>
      </c>
      <c r="K67" s="6">
        <v>-1.0260000000000016</v>
      </c>
      <c r="L67" s="6">
        <v>-3.1279999999999859</v>
      </c>
    </row>
    <row r="68" spans="1:12" x14ac:dyDescent="0.35">
      <c r="A68">
        <v>11</v>
      </c>
      <c r="B68" s="12" t="s">
        <v>41</v>
      </c>
      <c r="C68">
        <v>2022</v>
      </c>
      <c r="F68" s="6">
        <v>0.19000000000000039</v>
      </c>
      <c r="G68" s="6">
        <v>2.509999999999998</v>
      </c>
      <c r="H68" s="6">
        <v>-3.6299919907991196</v>
      </c>
      <c r="I68" s="6">
        <v>1.8151737499999996</v>
      </c>
      <c r="J68" s="13">
        <v>2.4000000000000057</v>
      </c>
      <c r="K68" s="6">
        <v>-1.2699999999999996</v>
      </c>
      <c r="L68" s="6">
        <v>-1.5080000000000382</v>
      </c>
    </row>
    <row r="69" spans="1:12" x14ac:dyDescent="0.35">
      <c r="A69">
        <v>12</v>
      </c>
      <c r="B69" s="12" t="s">
        <v>42</v>
      </c>
      <c r="C69">
        <v>2022</v>
      </c>
      <c r="F69" s="6">
        <v>0.12399999999999878</v>
      </c>
      <c r="G69" s="6">
        <v>6.4279999999999973</v>
      </c>
      <c r="H69" s="6">
        <v>-2.337802077985323</v>
      </c>
      <c r="I69" s="6">
        <v>1.155620294000002</v>
      </c>
      <c r="J69" s="13">
        <v>-0.80000000000001137</v>
      </c>
      <c r="K69" s="6">
        <v>-1.1140000000000008</v>
      </c>
      <c r="L69" s="6">
        <v>-2.4860000000000468</v>
      </c>
    </row>
    <row r="70" spans="1:12" x14ac:dyDescent="0.35">
      <c r="A70">
        <v>13</v>
      </c>
      <c r="B70" s="12" t="s">
        <v>43</v>
      </c>
      <c r="C70">
        <v>2022</v>
      </c>
      <c r="F70" s="6">
        <v>0.2240000000000002</v>
      </c>
      <c r="G70" s="6">
        <v>6.1040000000000063</v>
      </c>
      <c r="H70" s="6">
        <v>0.47288828239783953</v>
      </c>
      <c r="I70" s="6">
        <v>0.59127707599999724</v>
      </c>
      <c r="J70" s="13">
        <v>0.60000000000002274</v>
      </c>
      <c r="K70" s="6">
        <v>-0.7900000000000027</v>
      </c>
      <c r="L70" s="6">
        <v>0.62999999999999545</v>
      </c>
    </row>
    <row r="71" spans="1:12" x14ac:dyDescent="0.35">
      <c r="A71">
        <v>14</v>
      </c>
      <c r="B71" s="12" t="s">
        <v>44</v>
      </c>
      <c r="C71">
        <v>2022</v>
      </c>
      <c r="F71" s="6">
        <v>0.3360000000000003</v>
      </c>
      <c r="G71" s="6">
        <v>3.740000000000002</v>
      </c>
      <c r="H71" s="6">
        <v>-1.8168146401706551</v>
      </c>
      <c r="I71" s="6">
        <v>2.705730091999996</v>
      </c>
      <c r="J71" s="13">
        <v>13.600000000000023</v>
      </c>
      <c r="K71" s="6">
        <v>-1.6660000000000004</v>
      </c>
      <c r="L71" s="6">
        <v>4.2060000000000173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perhitungan</vt:lpstr>
      <vt:lpstr>transf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Kuvera Witana</dc:creator>
  <cp:lastModifiedBy>Kuvera Witana</cp:lastModifiedBy>
  <dcterms:created xsi:type="dcterms:W3CDTF">2023-11-11T21:32:50Z</dcterms:created>
  <dcterms:modified xsi:type="dcterms:W3CDTF">2024-02-02T10:41:25Z</dcterms:modified>
</cp:coreProperties>
</file>