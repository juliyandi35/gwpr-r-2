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5694\Data-data\"/>
    </mc:Choice>
  </mc:AlternateContent>
  <xr:revisionPtr revIDLastSave="0" documentId="13_ncr:1_{5A67A726-F2FF-4AD1-A62D-64DC0831B845}" xr6:coauthVersionLast="47" xr6:coauthVersionMax="47" xr10:uidLastSave="{00000000-0000-0000-0000-000000000000}"/>
  <bookViews>
    <workbookView xWindow="-110" yWindow="-110" windowWidth="19420" windowHeight="10300" tabRatio="777" xr2:uid="{3C38E9AA-372C-4D10-B25F-1BBD3F590105}"/>
  </bookViews>
  <sheets>
    <sheet name="Data Gabung (Tahun)" sheetId="17" r:id="rId1"/>
    <sheet name="Data Gabung (Kabupaten)" sheetId="1" r:id="rId2"/>
    <sheet name="Rata-rata Lama Sekolah" sheetId="8" r:id="rId3"/>
    <sheet name="Pendapatan Per Kapita" sheetId="9" r:id="rId4"/>
    <sheet name="Angka Ketergantungan" sheetId="16" r:id="rId5"/>
    <sheet name="Angka Melek Huruf" sheetId="10" r:id="rId6"/>
    <sheet name="Jumlah Sekolah" sheetId="11" r:id="rId7"/>
    <sheet name="Rasio Murid Terhadap Guru" sheetId="12" r:id="rId8"/>
    <sheet name="Angka Partisipasi Sekolah" sheetId="1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8" i="8" l="1"/>
  <c r="C69" i="8"/>
  <c r="C70" i="8"/>
  <c r="C71" i="8"/>
  <c r="C67" i="8"/>
  <c r="C63" i="8"/>
  <c r="C64" i="8"/>
  <c r="C65" i="8"/>
  <c r="C66" i="8"/>
  <c r="C62" i="8"/>
  <c r="C58" i="8"/>
  <c r="C59" i="8"/>
  <c r="C60" i="8"/>
  <c r="C61" i="8"/>
  <c r="C57" i="8"/>
  <c r="C53" i="8"/>
  <c r="C54" i="8"/>
  <c r="C55" i="8"/>
  <c r="C56" i="8"/>
  <c r="C52" i="8"/>
  <c r="C48" i="8"/>
  <c r="C49" i="8"/>
  <c r="C50" i="8"/>
  <c r="C51" i="8"/>
  <c r="C47" i="8"/>
  <c r="C43" i="8"/>
  <c r="C44" i="8"/>
  <c r="C45" i="8"/>
  <c r="C46" i="8"/>
  <c r="C42" i="8"/>
  <c r="C38" i="8"/>
  <c r="C39" i="8"/>
  <c r="C40" i="8"/>
  <c r="C41" i="8"/>
  <c r="C37" i="8"/>
  <c r="C33" i="8"/>
  <c r="C34" i="8"/>
  <c r="C35" i="8"/>
  <c r="C36" i="8"/>
  <c r="C32" i="8"/>
  <c r="C28" i="8"/>
  <c r="C29" i="8"/>
  <c r="C30" i="8"/>
  <c r="C31" i="8"/>
  <c r="C27" i="8"/>
  <c r="C23" i="8"/>
  <c r="C24" i="8"/>
  <c r="C25" i="8"/>
  <c r="C26" i="8"/>
  <c r="C22" i="8"/>
  <c r="C18" i="8"/>
  <c r="C19" i="8"/>
  <c r="C20" i="8"/>
  <c r="C21" i="8"/>
  <c r="C17" i="8"/>
  <c r="C13" i="8"/>
  <c r="C14" i="8"/>
  <c r="C15" i="8"/>
  <c r="C16" i="8"/>
  <c r="C12" i="8"/>
  <c r="C8" i="8"/>
  <c r="C9" i="8"/>
  <c r="C10" i="8"/>
  <c r="C11" i="8"/>
  <c r="C7" i="8"/>
  <c r="C3" i="8"/>
  <c r="C4" i="8"/>
  <c r="C5" i="8"/>
  <c r="C6" i="8"/>
  <c r="C2" i="8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2" i="16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S25" i="14"/>
  <c r="R25" i="14"/>
  <c r="R35" i="14" s="1"/>
  <c r="Q25" i="14"/>
  <c r="Q35" i="14" s="1"/>
  <c r="P25" i="14"/>
  <c r="O25" i="14"/>
  <c r="N25" i="14"/>
  <c r="N35" i="14" s="1"/>
  <c r="M25" i="14"/>
  <c r="M35" i="14" s="1"/>
  <c r="L25" i="14"/>
  <c r="K25" i="14"/>
  <c r="J25" i="14"/>
  <c r="I25" i="14"/>
  <c r="I35" i="14" s="1"/>
  <c r="H25" i="14"/>
  <c r="G25" i="14"/>
  <c r="F25" i="14"/>
  <c r="F35" i="14" s="1"/>
  <c r="S17" i="14"/>
  <c r="S35" i="14" s="1"/>
  <c r="R17" i="14"/>
  <c r="Q17" i="14"/>
  <c r="P17" i="14"/>
  <c r="O17" i="14"/>
  <c r="O35" i="14" s="1"/>
  <c r="N17" i="14"/>
  <c r="M17" i="14"/>
  <c r="L17" i="14"/>
  <c r="K17" i="14"/>
  <c r="J17" i="14"/>
  <c r="I17" i="14"/>
  <c r="H17" i="14"/>
  <c r="G17" i="14"/>
  <c r="G35" i="14" s="1"/>
  <c r="F17" i="14"/>
  <c r="J35" i="14"/>
  <c r="K35" i="14"/>
  <c r="S6" i="14"/>
  <c r="C71" i="14" s="1"/>
  <c r="R6" i="14"/>
  <c r="C66" i="14" s="1"/>
  <c r="Q6" i="14"/>
  <c r="C61" i="14" s="1"/>
  <c r="P6" i="14"/>
  <c r="C56" i="14" s="1"/>
  <c r="O6" i="14"/>
  <c r="C51" i="14" s="1"/>
  <c r="N6" i="14"/>
  <c r="C46" i="14" s="1"/>
  <c r="M6" i="14"/>
  <c r="C41" i="14" s="1"/>
  <c r="L6" i="14"/>
  <c r="C36" i="14" s="1"/>
  <c r="K6" i="14"/>
  <c r="C31" i="14" s="1"/>
  <c r="J6" i="14"/>
  <c r="C26" i="14" s="1"/>
  <c r="I6" i="14"/>
  <c r="C21" i="14" s="1"/>
  <c r="H6" i="14"/>
  <c r="C16" i="14" s="1"/>
  <c r="G6" i="14"/>
  <c r="C11" i="14" s="1"/>
  <c r="F6" i="14"/>
  <c r="C6" i="14" s="1"/>
  <c r="S5" i="14"/>
  <c r="C70" i="14" s="1"/>
  <c r="R5" i="14"/>
  <c r="C65" i="14" s="1"/>
  <c r="Q5" i="14"/>
  <c r="C60" i="14" s="1"/>
  <c r="P5" i="14"/>
  <c r="C55" i="14" s="1"/>
  <c r="O5" i="14"/>
  <c r="C50" i="14" s="1"/>
  <c r="N5" i="14"/>
  <c r="C45" i="14" s="1"/>
  <c r="M5" i="14"/>
  <c r="C40" i="14" s="1"/>
  <c r="L5" i="14"/>
  <c r="C35" i="14" s="1"/>
  <c r="K5" i="14"/>
  <c r="C30" i="14" s="1"/>
  <c r="J5" i="14"/>
  <c r="C25" i="14" s="1"/>
  <c r="I5" i="14"/>
  <c r="C20" i="14" s="1"/>
  <c r="H5" i="14"/>
  <c r="C15" i="14" s="1"/>
  <c r="G5" i="14"/>
  <c r="C10" i="14" s="1"/>
  <c r="F5" i="14"/>
  <c r="C5" i="14" s="1"/>
  <c r="S4" i="14"/>
  <c r="C69" i="14" s="1"/>
  <c r="R4" i="14"/>
  <c r="C64" i="14" s="1"/>
  <c r="Q4" i="14"/>
  <c r="C59" i="14" s="1"/>
  <c r="P4" i="14"/>
  <c r="C54" i="14" s="1"/>
  <c r="O4" i="14"/>
  <c r="C49" i="14" s="1"/>
  <c r="N4" i="14"/>
  <c r="C44" i="14" s="1"/>
  <c r="M4" i="14"/>
  <c r="C39" i="14" s="1"/>
  <c r="L4" i="14"/>
  <c r="C34" i="14" s="1"/>
  <c r="K4" i="14"/>
  <c r="C29" i="14" s="1"/>
  <c r="J4" i="14"/>
  <c r="C24" i="14" s="1"/>
  <c r="I4" i="14"/>
  <c r="C19" i="14" s="1"/>
  <c r="H4" i="14"/>
  <c r="C14" i="14" s="1"/>
  <c r="G4" i="14"/>
  <c r="C9" i="14" s="1"/>
  <c r="F4" i="14"/>
  <c r="C4" i="14" s="1"/>
  <c r="S3" i="14"/>
  <c r="C68" i="14" s="1"/>
  <c r="R3" i="14"/>
  <c r="C63" i="14" s="1"/>
  <c r="Q3" i="14"/>
  <c r="C58" i="14" s="1"/>
  <c r="P3" i="14"/>
  <c r="C53" i="14" s="1"/>
  <c r="O3" i="14"/>
  <c r="C48" i="14" s="1"/>
  <c r="N3" i="14"/>
  <c r="C43" i="14" s="1"/>
  <c r="M3" i="14"/>
  <c r="C38" i="14" s="1"/>
  <c r="L3" i="14"/>
  <c r="C33" i="14" s="1"/>
  <c r="K3" i="14"/>
  <c r="C28" i="14" s="1"/>
  <c r="J3" i="14"/>
  <c r="C23" i="14" s="1"/>
  <c r="I3" i="14"/>
  <c r="C18" i="14" s="1"/>
  <c r="H3" i="14"/>
  <c r="C13" i="14" s="1"/>
  <c r="G3" i="14"/>
  <c r="C8" i="14" s="1"/>
  <c r="F3" i="14"/>
  <c r="C3" i="14" s="1"/>
  <c r="S2" i="14"/>
  <c r="R2" i="14"/>
  <c r="C62" i="14" s="1"/>
  <c r="Q2" i="14"/>
  <c r="C57" i="14" s="1"/>
  <c r="P2" i="14"/>
  <c r="C52" i="14" s="1"/>
  <c r="O2" i="14"/>
  <c r="N2" i="14"/>
  <c r="C42" i="14" s="1"/>
  <c r="M2" i="14"/>
  <c r="C37" i="14" s="1"/>
  <c r="L2" i="14"/>
  <c r="C32" i="14" s="1"/>
  <c r="K2" i="14"/>
  <c r="J2" i="14"/>
  <c r="C22" i="14" s="1"/>
  <c r="I2" i="14"/>
  <c r="C17" i="14" s="1"/>
  <c r="H2" i="14"/>
  <c r="C12" i="14" s="1"/>
  <c r="G2" i="14"/>
  <c r="F2" i="14"/>
  <c r="C2" i="14" s="1"/>
  <c r="F71" i="12"/>
  <c r="G71" i="12"/>
  <c r="H71" i="12"/>
  <c r="I71" i="12"/>
  <c r="J71" i="12"/>
  <c r="K71" i="12"/>
  <c r="L71" i="12"/>
  <c r="M71" i="12"/>
  <c r="N71" i="12"/>
  <c r="O71" i="12"/>
  <c r="P71" i="12"/>
  <c r="Q71" i="12"/>
  <c r="R71" i="12"/>
  <c r="S71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R72" i="12"/>
  <c r="S72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R73" i="12"/>
  <c r="S73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G36" i="12"/>
  <c r="G2" i="12" s="1"/>
  <c r="C7" i="12" s="1"/>
  <c r="H36" i="12"/>
  <c r="H2" i="12" s="1"/>
  <c r="C12" i="12" s="1"/>
  <c r="I36" i="12"/>
  <c r="I2" i="12" s="1"/>
  <c r="C17" i="12" s="1"/>
  <c r="J36" i="12"/>
  <c r="K36" i="12"/>
  <c r="L36" i="12"/>
  <c r="M36" i="12"/>
  <c r="M2" i="12" s="1"/>
  <c r="C37" i="12" s="1"/>
  <c r="N36" i="12"/>
  <c r="O36" i="12"/>
  <c r="O2" i="12" s="1"/>
  <c r="C47" i="12" s="1"/>
  <c r="P36" i="12"/>
  <c r="P2" i="12" s="1"/>
  <c r="C52" i="12" s="1"/>
  <c r="Q36" i="12"/>
  <c r="Q2" i="12" s="1"/>
  <c r="C57" i="12" s="1"/>
  <c r="R36" i="12"/>
  <c r="S36" i="12"/>
  <c r="G37" i="12"/>
  <c r="G3" i="12" s="1"/>
  <c r="C8" i="12" s="1"/>
  <c r="H37" i="12"/>
  <c r="H3" i="12" s="1"/>
  <c r="C13" i="12" s="1"/>
  <c r="I37" i="12"/>
  <c r="I3" i="12" s="1"/>
  <c r="C18" i="12" s="1"/>
  <c r="J37" i="12"/>
  <c r="J3" i="12" s="1"/>
  <c r="C23" i="12" s="1"/>
  <c r="K37" i="12"/>
  <c r="K3" i="12" s="1"/>
  <c r="C28" i="12" s="1"/>
  <c r="L37" i="12"/>
  <c r="M37" i="12"/>
  <c r="N37" i="12"/>
  <c r="N3" i="12" s="1"/>
  <c r="C43" i="12" s="1"/>
  <c r="O37" i="12"/>
  <c r="O3" i="12" s="1"/>
  <c r="C48" i="12" s="1"/>
  <c r="P37" i="12"/>
  <c r="P3" i="12" s="1"/>
  <c r="C53" i="12" s="1"/>
  <c r="Q37" i="12"/>
  <c r="Q3" i="12" s="1"/>
  <c r="C58" i="12" s="1"/>
  <c r="R37" i="12"/>
  <c r="R3" i="12" s="1"/>
  <c r="C63" i="12" s="1"/>
  <c r="S37" i="12"/>
  <c r="S3" i="12" s="1"/>
  <c r="C68" i="12" s="1"/>
  <c r="G38" i="12"/>
  <c r="H38" i="12"/>
  <c r="I38" i="12"/>
  <c r="J38" i="12"/>
  <c r="K38" i="12"/>
  <c r="K4" i="12" s="1"/>
  <c r="C29" i="12" s="1"/>
  <c r="L38" i="12"/>
  <c r="L4" i="12" s="1"/>
  <c r="C34" i="12" s="1"/>
  <c r="M38" i="12"/>
  <c r="N38" i="12"/>
  <c r="O38" i="12"/>
  <c r="P38" i="12"/>
  <c r="P4" i="12" s="1"/>
  <c r="C54" i="12" s="1"/>
  <c r="Q38" i="12"/>
  <c r="R38" i="12"/>
  <c r="S38" i="12"/>
  <c r="S4" i="12" s="1"/>
  <c r="C69" i="12" s="1"/>
  <c r="G39" i="12"/>
  <c r="H39" i="12"/>
  <c r="I39" i="12"/>
  <c r="J39" i="12"/>
  <c r="K39" i="12"/>
  <c r="L39" i="12"/>
  <c r="M39" i="12"/>
  <c r="M5" i="12" s="1"/>
  <c r="C40" i="12" s="1"/>
  <c r="N39" i="12"/>
  <c r="N5" i="12" s="1"/>
  <c r="C45" i="12" s="1"/>
  <c r="O39" i="12"/>
  <c r="P39" i="12"/>
  <c r="Q39" i="12"/>
  <c r="R39" i="12"/>
  <c r="S39" i="12"/>
  <c r="G40" i="12"/>
  <c r="G6" i="12" s="1"/>
  <c r="C11" i="12" s="1"/>
  <c r="H40" i="12"/>
  <c r="H6" i="12" s="1"/>
  <c r="C16" i="12" s="1"/>
  <c r="I40" i="12"/>
  <c r="I6" i="12" s="1"/>
  <c r="C21" i="12" s="1"/>
  <c r="J40" i="12"/>
  <c r="K40" i="12"/>
  <c r="K6" i="12" s="1"/>
  <c r="C31" i="12" s="1"/>
  <c r="L40" i="12"/>
  <c r="M40" i="12"/>
  <c r="M6" i="12" s="1"/>
  <c r="C41" i="12" s="1"/>
  <c r="N40" i="12"/>
  <c r="O40" i="12"/>
  <c r="O6" i="12" s="1"/>
  <c r="C51" i="12" s="1"/>
  <c r="P40" i="12"/>
  <c r="P6" i="12" s="1"/>
  <c r="C56" i="12" s="1"/>
  <c r="Q40" i="12"/>
  <c r="Q6" i="12" s="1"/>
  <c r="C61" i="12" s="1"/>
  <c r="R40" i="12"/>
  <c r="S40" i="12"/>
  <c r="S6" i="12" s="1"/>
  <c r="C71" i="12" s="1"/>
  <c r="F37" i="12"/>
  <c r="F38" i="12"/>
  <c r="F39" i="12"/>
  <c r="F5" i="12" s="1"/>
  <c r="C5" i="12" s="1"/>
  <c r="F40" i="12"/>
  <c r="F36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R68" i="12"/>
  <c r="S68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F3" i="11"/>
  <c r="G3" i="11"/>
  <c r="H3" i="11"/>
  <c r="C13" i="11" s="1"/>
  <c r="I3" i="11"/>
  <c r="J3" i="11"/>
  <c r="K3" i="11"/>
  <c r="C28" i="11" s="1"/>
  <c r="L3" i="11"/>
  <c r="C33" i="11" s="1"/>
  <c r="M3" i="11"/>
  <c r="N3" i="11"/>
  <c r="O3" i="11"/>
  <c r="C48" i="11" s="1"/>
  <c r="P3" i="11"/>
  <c r="C53" i="11" s="1"/>
  <c r="Q3" i="11"/>
  <c r="R3" i="11"/>
  <c r="S3" i="11"/>
  <c r="C68" i="11" s="1"/>
  <c r="F4" i="11"/>
  <c r="C4" i="11" s="1"/>
  <c r="G4" i="11"/>
  <c r="C9" i="11" s="1"/>
  <c r="H4" i="11"/>
  <c r="I4" i="11"/>
  <c r="C19" i="11" s="1"/>
  <c r="J4" i="11"/>
  <c r="C24" i="11" s="1"/>
  <c r="K4" i="11"/>
  <c r="C29" i="11" s="1"/>
  <c r="L4" i="11"/>
  <c r="M4" i="11"/>
  <c r="C39" i="11" s="1"/>
  <c r="N4" i="11"/>
  <c r="C44" i="11" s="1"/>
  <c r="O4" i="11"/>
  <c r="C49" i="11" s="1"/>
  <c r="P4" i="11"/>
  <c r="Q4" i="11"/>
  <c r="R4" i="11"/>
  <c r="S4" i="11"/>
  <c r="C69" i="11" s="1"/>
  <c r="F5" i="11"/>
  <c r="G5" i="11"/>
  <c r="C10" i="11" s="1"/>
  <c r="H5" i="11"/>
  <c r="C15" i="11" s="1"/>
  <c r="I5" i="11"/>
  <c r="C20" i="11" s="1"/>
  <c r="J5" i="11"/>
  <c r="K5" i="11"/>
  <c r="L5" i="11"/>
  <c r="M5" i="11"/>
  <c r="C40" i="11" s="1"/>
  <c r="N5" i="11"/>
  <c r="O5" i="11"/>
  <c r="C50" i="11" s="1"/>
  <c r="P5" i="11"/>
  <c r="C55" i="11" s="1"/>
  <c r="Q5" i="11"/>
  <c r="C60" i="11" s="1"/>
  <c r="R5" i="11"/>
  <c r="S5" i="11"/>
  <c r="C70" i="11" s="1"/>
  <c r="F6" i="11"/>
  <c r="C6" i="11" s="1"/>
  <c r="G6" i="11"/>
  <c r="C11" i="11" s="1"/>
  <c r="H6" i="11"/>
  <c r="I6" i="11"/>
  <c r="C21" i="11" s="1"/>
  <c r="J6" i="11"/>
  <c r="C26" i="11" s="1"/>
  <c r="K6" i="11"/>
  <c r="C31" i="11" s="1"/>
  <c r="L6" i="11"/>
  <c r="M6" i="11"/>
  <c r="N6" i="11"/>
  <c r="O6" i="11"/>
  <c r="C51" i="11" s="1"/>
  <c r="P6" i="11"/>
  <c r="Q6" i="11"/>
  <c r="C61" i="11" s="1"/>
  <c r="R6" i="11"/>
  <c r="C66" i="11" s="1"/>
  <c r="S6" i="11"/>
  <c r="C71" i="11" s="1"/>
  <c r="G2" i="11"/>
  <c r="H2" i="11"/>
  <c r="I2" i="11"/>
  <c r="C17" i="11" s="1"/>
  <c r="J2" i="11"/>
  <c r="C22" i="11" s="1"/>
  <c r="K2" i="11"/>
  <c r="L2" i="11"/>
  <c r="M2" i="11"/>
  <c r="C37" i="11" s="1"/>
  <c r="N2" i="11"/>
  <c r="O2" i="11"/>
  <c r="P2" i="11"/>
  <c r="Q2" i="11"/>
  <c r="R2" i="11"/>
  <c r="C62" i="11" s="1"/>
  <c r="S2" i="11"/>
  <c r="F2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F17" i="11"/>
  <c r="G17" i="11"/>
  <c r="H17" i="11"/>
  <c r="I17" i="11"/>
  <c r="I35" i="11" s="1"/>
  <c r="J17" i="11"/>
  <c r="J35" i="11" s="1"/>
  <c r="K17" i="11"/>
  <c r="L17" i="11"/>
  <c r="M17" i="11"/>
  <c r="N17" i="11"/>
  <c r="O17" i="11"/>
  <c r="P17" i="11"/>
  <c r="Q17" i="11"/>
  <c r="Q35" i="11" s="1"/>
  <c r="R17" i="11"/>
  <c r="R35" i="11" s="1"/>
  <c r="S17" i="11"/>
  <c r="S3" i="9"/>
  <c r="C68" i="9" s="1"/>
  <c r="S4" i="9"/>
  <c r="C69" i="9" s="1"/>
  <c r="S5" i="9"/>
  <c r="C70" i="9" s="1"/>
  <c r="S6" i="9"/>
  <c r="C71" i="9" s="1"/>
  <c r="S2" i="9"/>
  <c r="C67" i="9" s="1"/>
  <c r="R3" i="9"/>
  <c r="C63" i="9" s="1"/>
  <c r="R4" i="9"/>
  <c r="C64" i="9" s="1"/>
  <c r="R5" i="9"/>
  <c r="C65" i="9" s="1"/>
  <c r="R6" i="9"/>
  <c r="C66" i="9" s="1"/>
  <c r="R2" i="9"/>
  <c r="C62" i="9" s="1"/>
  <c r="Q3" i="9"/>
  <c r="C58" i="9" s="1"/>
  <c r="Q4" i="9"/>
  <c r="C59" i="9" s="1"/>
  <c r="Q5" i="9"/>
  <c r="C60" i="9" s="1"/>
  <c r="Q6" i="9"/>
  <c r="C61" i="9" s="1"/>
  <c r="Q2" i="9"/>
  <c r="C57" i="9" s="1"/>
  <c r="P3" i="9"/>
  <c r="C53" i="9" s="1"/>
  <c r="P4" i="9"/>
  <c r="C54" i="9" s="1"/>
  <c r="P5" i="9"/>
  <c r="C55" i="9" s="1"/>
  <c r="P6" i="9"/>
  <c r="C56" i="9" s="1"/>
  <c r="P2" i="9"/>
  <c r="C52" i="9" s="1"/>
  <c r="O3" i="9"/>
  <c r="C48" i="9" s="1"/>
  <c r="O4" i="9"/>
  <c r="C49" i="9" s="1"/>
  <c r="O5" i="9"/>
  <c r="C50" i="9" s="1"/>
  <c r="O6" i="9"/>
  <c r="C51" i="9" s="1"/>
  <c r="O2" i="9"/>
  <c r="C47" i="9" s="1"/>
  <c r="N3" i="9"/>
  <c r="C43" i="9" s="1"/>
  <c r="N4" i="9"/>
  <c r="C44" i="9" s="1"/>
  <c r="N5" i="9"/>
  <c r="C45" i="9" s="1"/>
  <c r="N6" i="9"/>
  <c r="C46" i="9" s="1"/>
  <c r="N2" i="9"/>
  <c r="C42" i="9" s="1"/>
  <c r="M3" i="9"/>
  <c r="C38" i="9" s="1"/>
  <c r="M4" i="9"/>
  <c r="C39" i="9" s="1"/>
  <c r="M5" i="9"/>
  <c r="C40" i="9" s="1"/>
  <c r="M6" i="9"/>
  <c r="C41" i="9" s="1"/>
  <c r="M2" i="9"/>
  <c r="C37" i="9" s="1"/>
  <c r="L3" i="9"/>
  <c r="C33" i="9" s="1"/>
  <c r="L4" i="9"/>
  <c r="C34" i="9" s="1"/>
  <c r="L5" i="9"/>
  <c r="C35" i="9" s="1"/>
  <c r="L6" i="9"/>
  <c r="C36" i="9" s="1"/>
  <c r="L2" i="9"/>
  <c r="C32" i="9" s="1"/>
  <c r="K3" i="9"/>
  <c r="C28" i="9" s="1"/>
  <c r="K4" i="9"/>
  <c r="C29" i="9" s="1"/>
  <c r="K5" i="9"/>
  <c r="C30" i="9" s="1"/>
  <c r="K6" i="9"/>
  <c r="C31" i="9" s="1"/>
  <c r="K2" i="9"/>
  <c r="C27" i="9" s="1"/>
  <c r="J3" i="9"/>
  <c r="C23" i="9" s="1"/>
  <c r="J4" i="9"/>
  <c r="C24" i="9" s="1"/>
  <c r="J5" i="9"/>
  <c r="C25" i="9" s="1"/>
  <c r="J6" i="9"/>
  <c r="C26" i="9" s="1"/>
  <c r="J2" i="9"/>
  <c r="C22" i="9" s="1"/>
  <c r="I3" i="9"/>
  <c r="C18" i="9" s="1"/>
  <c r="I4" i="9"/>
  <c r="C19" i="9" s="1"/>
  <c r="I5" i="9"/>
  <c r="C20" i="9" s="1"/>
  <c r="I6" i="9"/>
  <c r="C21" i="9" s="1"/>
  <c r="I2" i="9"/>
  <c r="C17" i="9" s="1"/>
  <c r="H3" i="9"/>
  <c r="C13" i="9" s="1"/>
  <c r="H4" i="9"/>
  <c r="C14" i="9" s="1"/>
  <c r="H5" i="9"/>
  <c r="C15" i="9" s="1"/>
  <c r="H6" i="9"/>
  <c r="C16" i="9" s="1"/>
  <c r="H2" i="9"/>
  <c r="C12" i="9" s="1"/>
  <c r="G3" i="9"/>
  <c r="C8" i="9" s="1"/>
  <c r="G4" i="9"/>
  <c r="C9" i="9" s="1"/>
  <c r="G5" i="9"/>
  <c r="C10" i="9" s="1"/>
  <c r="G6" i="9"/>
  <c r="C11" i="9" s="1"/>
  <c r="G2" i="9"/>
  <c r="C7" i="9" s="1"/>
  <c r="F3" i="9"/>
  <c r="C3" i="9" s="1"/>
  <c r="F4" i="9"/>
  <c r="C4" i="9" s="1"/>
  <c r="F5" i="9"/>
  <c r="C5" i="9" s="1"/>
  <c r="F6" i="9"/>
  <c r="C6" i="9" s="1"/>
  <c r="F2" i="9"/>
  <c r="C2" i="9" s="1"/>
  <c r="C67" i="11"/>
  <c r="C65" i="11"/>
  <c r="C63" i="11"/>
  <c r="C59" i="11"/>
  <c r="C58" i="11"/>
  <c r="C56" i="11"/>
  <c r="C54" i="11"/>
  <c r="C52" i="11"/>
  <c r="C47" i="11"/>
  <c r="C46" i="11"/>
  <c r="C45" i="11"/>
  <c r="C43" i="11"/>
  <c r="C42" i="11"/>
  <c r="C41" i="11"/>
  <c r="C38" i="11"/>
  <c r="C36" i="11"/>
  <c r="C35" i="11"/>
  <c r="C34" i="11"/>
  <c r="C30" i="11"/>
  <c r="C25" i="11"/>
  <c r="C23" i="11"/>
  <c r="C18" i="11"/>
  <c r="C16" i="11"/>
  <c r="C14" i="11"/>
  <c r="C8" i="11"/>
  <c r="C7" i="11"/>
  <c r="C5" i="11"/>
  <c r="C3" i="11"/>
  <c r="C2" i="11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L2" i="12" l="1"/>
  <c r="C32" i="12" s="1"/>
  <c r="N35" i="11"/>
  <c r="F35" i="11"/>
  <c r="Q7" i="11"/>
  <c r="S2" i="12"/>
  <c r="C67" i="12" s="1"/>
  <c r="K2" i="12"/>
  <c r="C27" i="12" s="1"/>
  <c r="M35" i="11"/>
  <c r="H4" i="12"/>
  <c r="C14" i="12" s="1"/>
  <c r="M3" i="12"/>
  <c r="C38" i="12" s="1"/>
  <c r="F4" i="12"/>
  <c r="C4" i="12" s="1"/>
  <c r="R5" i="12"/>
  <c r="C65" i="12" s="1"/>
  <c r="J5" i="12"/>
  <c r="C25" i="12" s="1"/>
  <c r="O4" i="12"/>
  <c r="C49" i="12" s="1"/>
  <c r="G4" i="12"/>
  <c r="C9" i="12" s="1"/>
  <c r="L3" i="12"/>
  <c r="C33" i="12" s="1"/>
  <c r="F7" i="11"/>
  <c r="F3" i="12"/>
  <c r="C3" i="12" s="1"/>
  <c r="L6" i="12"/>
  <c r="C36" i="12" s="1"/>
  <c r="Q5" i="12"/>
  <c r="C60" i="12" s="1"/>
  <c r="I5" i="12"/>
  <c r="C20" i="12" s="1"/>
  <c r="F2" i="12"/>
  <c r="C2" i="12" s="1"/>
  <c r="R4" i="12"/>
  <c r="C64" i="12" s="1"/>
  <c r="J4" i="12"/>
  <c r="C24" i="12" s="1"/>
  <c r="F6" i="12"/>
  <c r="C6" i="12" s="1"/>
  <c r="P5" i="12"/>
  <c r="C55" i="12" s="1"/>
  <c r="L5" i="12"/>
  <c r="C35" i="12" s="1"/>
  <c r="H5" i="12"/>
  <c r="C15" i="12" s="1"/>
  <c r="Q4" i="12"/>
  <c r="C59" i="12" s="1"/>
  <c r="M4" i="12"/>
  <c r="C39" i="12" s="1"/>
  <c r="I4" i="12"/>
  <c r="C19" i="12" s="1"/>
  <c r="N4" i="12"/>
  <c r="C44" i="12" s="1"/>
  <c r="R6" i="12"/>
  <c r="C66" i="12" s="1"/>
  <c r="N6" i="12"/>
  <c r="C46" i="12" s="1"/>
  <c r="J6" i="12"/>
  <c r="C26" i="12" s="1"/>
  <c r="S5" i="12"/>
  <c r="C70" i="12" s="1"/>
  <c r="O5" i="12"/>
  <c r="C50" i="12" s="1"/>
  <c r="K5" i="12"/>
  <c r="C30" i="12" s="1"/>
  <c r="G5" i="12"/>
  <c r="C10" i="12" s="1"/>
  <c r="R2" i="12"/>
  <c r="C62" i="12" s="1"/>
  <c r="N2" i="12"/>
  <c r="C42" i="12" s="1"/>
  <c r="J2" i="12"/>
  <c r="C22" i="12" s="1"/>
  <c r="R7" i="11"/>
  <c r="L7" i="11"/>
  <c r="L35" i="11"/>
  <c r="O7" i="11"/>
  <c r="G7" i="11"/>
  <c r="P7" i="11"/>
  <c r="H7" i="11"/>
  <c r="C12" i="11"/>
  <c r="C32" i="11"/>
  <c r="P35" i="11"/>
  <c r="H35" i="11"/>
  <c r="S7" i="11"/>
  <c r="K7" i="11"/>
  <c r="C27" i="11"/>
  <c r="C57" i="11"/>
  <c r="S35" i="11"/>
  <c r="O35" i="11"/>
  <c r="K35" i="11"/>
  <c r="G35" i="11"/>
  <c r="N7" i="11"/>
  <c r="C64" i="11"/>
  <c r="M7" i="11"/>
  <c r="I7" i="11"/>
  <c r="J7" i="11"/>
  <c r="H35" i="14"/>
  <c r="L35" i="14"/>
  <c r="P35" i="14"/>
  <c r="G7" i="14"/>
  <c r="S7" i="14"/>
  <c r="K7" i="14"/>
  <c r="O7" i="14"/>
  <c r="P7" i="14"/>
  <c r="C67" i="14"/>
  <c r="C47" i="14"/>
  <c r="C27" i="14"/>
  <c r="C7" i="14"/>
  <c r="F7" i="14"/>
  <c r="J7" i="14"/>
  <c r="N7" i="14"/>
  <c r="R7" i="14"/>
  <c r="H7" i="14"/>
  <c r="L7" i="14"/>
  <c r="I7" i="14"/>
  <c r="M7" i="14"/>
  <c r="Q7" i="14"/>
</calcChain>
</file>

<file path=xl/sharedStrings.xml><?xml version="1.0" encoding="utf-8"?>
<sst xmlns="http://schemas.openxmlformats.org/spreadsheetml/2006/main" count="1099" uniqueCount="56">
  <si>
    <t>Kabupaten/Kota</t>
  </si>
  <si>
    <t>Tahun</t>
  </si>
  <si>
    <t>X1</t>
  </si>
  <si>
    <t>Sambas</t>
  </si>
  <si>
    <t>Bengkayang</t>
  </si>
  <si>
    <t>Landak</t>
  </si>
  <si>
    <t>Sanggau</t>
  </si>
  <si>
    <t>Ketapang</t>
  </si>
  <si>
    <t>Sintang</t>
  </si>
  <si>
    <t>Kapuas Hulu</t>
  </si>
  <si>
    <t>Sekadau</t>
  </si>
  <si>
    <t>Melawi</t>
  </si>
  <si>
    <t>Kubu Raya</t>
  </si>
  <si>
    <t>Kayong Utara</t>
  </si>
  <si>
    <t>Kota Pontianak</t>
  </si>
  <si>
    <t>Kota Singkawang</t>
  </si>
  <si>
    <t>Mempawah</t>
  </si>
  <si>
    <t>Y</t>
  </si>
  <si>
    <t>X2</t>
  </si>
  <si>
    <t>X3</t>
  </si>
  <si>
    <t>X4</t>
  </si>
  <si>
    <t>X5</t>
  </si>
  <si>
    <t>PDRB/Jumlah Penduduk</t>
  </si>
  <si>
    <t>Data PDRB</t>
  </si>
  <si>
    <t>Data Jumlah Penduduk</t>
  </si>
  <si>
    <t>Pontianak</t>
  </si>
  <si>
    <t>Singkawang</t>
  </si>
  <si>
    <t>Jumlah Sekolah</t>
  </si>
  <si>
    <t>SD</t>
  </si>
  <si>
    <t>SMP</t>
  </si>
  <si>
    <t>SMU</t>
  </si>
  <si>
    <t>Total</t>
  </si>
  <si>
    <t>Rumus</t>
  </si>
  <si>
    <t>Jumlah muri/Jumlah guru</t>
  </si>
  <si>
    <t>Data Jumlah Murid</t>
  </si>
  <si>
    <t>Data Jumlah Guru</t>
  </si>
  <si>
    <t>Total Murid</t>
  </si>
  <si>
    <t>Total Guru</t>
  </si>
  <si>
    <t>X6</t>
  </si>
  <si>
    <t>APS</t>
  </si>
  <si>
    <t>Tahun/Kab-Kota</t>
  </si>
  <si>
    <t>Rumus: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</si>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</sst>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2" fontId="0" fillId="0" borderId="0" xfId="0" applyNumberFormat="1"/>
    <xf numFmtId="2" fontId="0" fillId="0" borderId="1" xfId="0" applyNumberFormat="1" applyBorder="1"/>
    <xf numFmtId="2" fontId="0" fillId="0" borderId="1" xfId="0" applyNumberFormat="1" applyBorder="1" applyAlignment="1">
      <alignment vertical="center"/>
    </xf>
    <xf numFmtId="2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3D655-63AB-4350-950D-36B364AB0E0A}">
  <dimension ref="A1:L76"/>
  <sheetViews>
    <sheetView tabSelected="1" workbookViewId="0">
      <selection activeCell="A6" sqref="A6"/>
    </sheetView>
  </sheetViews>
  <sheetFormatPr defaultRowHeight="14.5" x14ac:dyDescent="0.35"/>
  <cols>
    <col min="1" max="1" width="17.6328125" customWidth="1"/>
    <col min="2" max="2" width="6.08984375" bestFit="1" customWidth="1"/>
    <col min="3" max="9" width="10.08984375" customWidth="1"/>
  </cols>
  <sheetData>
    <row r="1" spans="1:11" ht="15" thickBot="1" x14ac:dyDescent="0.4">
      <c r="A1" s="2" t="s">
        <v>0</v>
      </c>
      <c r="B1" s="2" t="s">
        <v>1</v>
      </c>
      <c r="C1" s="2" t="s">
        <v>17</v>
      </c>
      <c r="D1" s="2" t="s">
        <v>2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38</v>
      </c>
    </row>
    <row r="2" spans="1:11" ht="15" thickBot="1" x14ac:dyDescent="0.4">
      <c r="A2" s="15" t="s">
        <v>42</v>
      </c>
      <c r="B2" s="3">
        <v>2018</v>
      </c>
      <c r="C2" s="6">
        <v>6.68</v>
      </c>
      <c r="D2" s="6">
        <v>35.644513141910856</v>
      </c>
      <c r="E2" s="6">
        <v>56.952994462829643</v>
      </c>
      <c r="F2" s="6">
        <v>91.660599590000004</v>
      </c>
      <c r="G2" s="11">
        <v>578</v>
      </c>
      <c r="H2" s="6">
        <v>18.172856178257934</v>
      </c>
      <c r="I2" s="6">
        <v>262.18</v>
      </c>
    </row>
    <row r="3" spans="1:11" ht="15" thickBot="1" x14ac:dyDescent="0.4">
      <c r="A3" s="16" t="s">
        <v>43</v>
      </c>
      <c r="B3" s="3">
        <v>2018</v>
      </c>
      <c r="C3" s="6">
        <v>6.27</v>
      </c>
      <c r="D3" s="6">
        <v>31.831117380232374</v>
      </c>
      <c r="E3" s="6">
        <v>54.281539868751416</v>
      </c>
      <c r="F3" s="6">
        <v>90.616516689999997</v>
      </c>
      <c r="G3" s="11">
        <v>385</v>
      </c>
      <c r="H3" s="6">
        <v>15.912800447177194</v>
      </c>
      <c r="I3" s="6">
        <v>262.60000000000002</v>
      </c>
    </row>
    <row r="4" spans="1:11" ht="15" thickBot="1" x14ac:dyDescent="0.4">
      <c r="A4" s="16" t="s">
        <v>44</v>
      </c>
      <c r="B4" s="3">
        <v>2018</v>
      </c>
      <c r="C4" s="6">
        <v>7.09</v>
      </c>
      <c r="D4" s="6">
        <v>26.181058535891509</v>
      </c>
      <c r="E4" s="6">
        <v>51.54469362356329</v>
      </c>
      <c r="F4" s="6">
        <v>92.690220530000005</v>
      </c>
      <c r="G4" s="11">
        <v>607</v>
      </c>
      <c r="H4" s="6">
        <v>17.097640891218873</v>
      </c>
      <c r="I4" s="6">
        <v>264.7</v>
      </c>
    </row>
    <row r="5" spans="1:11" ht="15" thickBot="1" x14ac:dyDescent="0.4">
      <c r="A5" s="16" t="s">
        <v>45</v>
      </c>
      <c r="B5" s="3">
        <v>2018</v>
      </c>
      <c r="C5" s="6">
        <v>6.63</v>
      </c>
      <c r="D5" s="6">
        <v>29.10024179197012</v>
      </c>
      <c r="E5" s="6">
        <v>53.281515809233291</v>
      </c>
      <c r="F5" s="6">
        <v>92.274451819999996</v>
      </c>
      <c r="G5" s="11">
        <v>250</v>
      </c>
      <c r="H5" s="6">
        <v>15.193320964749535</v>
      </c>
      <c r="I5" s="6">
        <v>264.37</v>
      </c>
    </row>
    <row r="6" spans="1:11" ht="15" thickBot="1" x14ac:dyDescent="0.4">
      <c r="A6" s="16" t="s">
        <v>46</v>
      </c>
      <c r="B6" s="3">
        <v>2018</v>
      </c>
      <c r="C6" s="6">
        <v>6.94</v>
      </c>
      <c r="D6" s="6">
        <v>39.05034235282708</v>
      </c>
      <c r="E6" s="6">
        <v>46.781836817330571</v>
      </c>
      <c r="F6" s="6">
        <v>91.654508579999998</v>
      </c>
      <c r="G6" s="11">
        <v>628</v>
      </c>
      <c r="H6" s="6">
        <v>16.955546408726075</v>
      </c>
      <c r="I6" s="6">
        <v>244.36</v>
      </c>
    </row>
    <row r="7" spans="1:11" ht="15" thickBot="1" x14ac:dyDescent="0.4">
      <c r="A7" s="16" t="s">
        <v>47</v>
      </c>
      <c r="B7" s="3">
        <v>2018</v>
      </c>
      <c r="C7" s="6">
        <v>7.04</v>
      </c>
      <c r="D7" s="6">
        <v>49.602960389517627</v>
      </c>
      <c r="E7" s="6">
        <v>49.05481817966735</v>
      </c>
      <c r="F7" s="6">
        <v>93.244687470000002</v>
      </c>
      <c r="G7" s="11">
        <v>708</v>
      </c>
      <c r="H7" s="6">
        <v>15.416625837008002</v>
      </c>
      <c r="I7" s="6">
        <v>255.26999999999998</v>
      </c>
      <c r="K7" s="5"/>
    </row>
    <row r="8" spans="1:11" ht="15" thickBot="1" x14ac:dyDescent="0.4">
      <c r="A8" s="16" t="s">
        <v>48</v>
      </c>
      <c r="B8" s="3">
        <v>2018</v>
      </c>
      <c r="C8" s="6">
        <v>6.73</v>
      </c>
      <c r="D8" s="6">
        <v>32.393864779410166</v>
      </c>
      <c r="E8" s="6">
        <v>50.763355994514633</v>
      </c>
      <c r="F8" s="6">
        <v>91.582428879999995</v>
      </c>
      <c r="G8" s="11">
        <v>599</v>
      </c>
      <c r="H8" s="6">
        <v>17.702540797355919</v>
      </c>
      <c r="I8" s="6">
        <v>247.94</v>
      </c>
      <c r="K8" s="5"/>
    </row>
    <row r="9" spans="1:11" ht="15" thickBot="1" x14ac:dyDescent="0.4">
      <c r="A9" s="16" t="s">
        <v>49</v>
      </c>
      <c r="B9" s="3">
        <v>2018</v>
      </c>
      <c r="C9" s="6">
        <v>7.25</v>
      </c>
      <c r="D9" s="6">
        <v>36.400678536125781</v>
      </c>
      <c r="E9" s="6">
        <v>48.363036417069104</v>
      </c>
      <c r="F9" s="6">
        <v>93.528701530000006</v>
      </c>
      <c r="G9" s="11">
        <v>539</v>
      </c>
      <c r="H9" s="6">
        <v>13.397568067671161</v>
      </c>
      <c r="I9" s="6">
        <v>259.32</v>
      </c>
      <c r="K9" s="5"/>
    </row>
    <row r="10" spans="1:11" ht="15" thickBot="1" x14ac:dyDescent="0.4">
      <c r="A10" s="16" t="s">
        <v>50</v>
      </c>
      <c r="B10" s="3">
        <v>2018</v>
      </c>
      <c r="C10" s="6">
        <v>6.58</v>
      </c>
      <c r="D10" s="6">
        <v>29.346812642802742</v>
      </c>
      <c r="E10" s="6">
        <v>49.457067113993439</v>
      </c>
      <c r="F10" s="6">
        <v>92.196001999999993</v>
      </c>
      <c r="G10" s="11">
        <v>321</v>
      </c>
      <c r="H10" s="6">
        <v>17.175316179677278</v>
      </c>
      <c r="I10" s="6">
        <v>256.97999999999996</v>
      </c>
      <c r="K10" s="5"/>
    </row>
    <row r="11" spans="1:11" ht="15" thickBot="1" x14ac:dyDescent="0.4">
      <c r="A11" s="16" t="s">
        <v>51</v>
      </c>
      <c r="B11" s="3">
        <v>2018</v>
      </c>
      <c r="C11" s="6">
        <v>6.66</v>
      </c>
      <c r="D11" s="6">
        <v>23.091158364913444</v>
      </c>
      <c r="E11" s="6">
        <v>47.550974938370096</v>
      </c>
      <c r="F11" s="6">
        <v>91.883740059999994</v>
      </c>
      <c r="G11" s="11">
        <v>386</v>
      </c>
      <c r="H11" s="6">
        <v>12.809064609450337</v>
      </c>
      <c r="I11" s="6">
        <v>240.56</v>
      </c>
      <c r="K11" s="5"/>
    </row>
    <row r="12" spans="1:11" ht="15" thickBot="1" x14ac:dyDescent="0.4">
      <c r="A12" s="16" t="s">
        <v>52</v>
      </c>
      <c r="B12" s="3">
        <v>2018</v>
      </c>
      <c r="C12" s="6">
        <v>5.86</v>
      </c>
      <c r="D12" s="6">
        <v>34.232620222003803</v>
      </c>
      <c r="E12" s="6">
        <v>53.669959953995594</v>
      </c>
      <c r="F12" s="6">
        <v>84.713821289999998</v>
      </c>
      <c r="G12" s="11">
        <v>155</v>
      </c>
      <c r="H12" s="6">
        <v>14.132610006027727</v>
      </c>
      <c r="I12" s="6">
        <v>265.39</v>
      </c>
      <c r="K12" s="5"/>
    </row>
    <row r="13" spans="1:11" ht="15" thickBot="1" x14ac:dyDescent="0.4">
      <c r="A13" s="16" t="s">
        <v>53</v>
      </c>
      <c r="B13" s="3">
        <v>2018</v>
      </c>
      <c r="C13" s="6">
        <v>6.81</v>
      </c>
      <c r="D13" s="6">
        <v>46.142802173357111</v>
      </c>
      <c r="E13" s="6">
        <v>51.089010389926592</v>
      </c>
      <c r="F13" s="6">
        <v>92.17232285</v>
      </c>
      <c r="G13" s="11">
        <v>583</v>
      </c>
      <c r="H13" s="6">
        <v>16.84157113324563</v>
      </c>
      <c r="I13" s="6">
        <v>263.64999999999998</v>
      </c>
      <c r="K13" s="5"/>
    </row>
    <row r="14" spans="1:11" ht="15" thickBot="1" x14ac:dyDescent="0.4">
      <c r="A14" s="16" t="s">
        <v>54</v>
      </c>
      <c r="B14" s="3">
        <v>2018</v>
      </c>
      <c r="C14" s="6">
        <v>9.9</v>
      </c>
      <c r="D14" s="6">
        <v>56.568916206566179</v>
      </c>
      <c r="E14" s="6">
        <v>43.485558588010825</v>
      </c>
      <c r="F14" s="6">
        <v>96.68447707</v>
      </c>
      <c r="G14" s="11">
        <v>294</v>
      </c>
      <c r="H14" s="6">
        <v>20.568519537699505</v>
      </c>
      <c r="I14" s="6">
        <v>273.86</v>
      </c>
      <c r="K14" s="5"/>
    </row>
    <row r="15" spans="1:11" ht="15" thickBot="1" x14ac:dyDescent="0.4">
      <c r="A15" s="16" t="s">
        <v>55</v>
      </c>
      <c r="B15" s="3">
        <v>2018</v>
      </c>
      <c r="C15" s="6">
        <v>7.57</v>
      </c>
      <c r="D15" s="6">
        <v>44.240574360566242</v>
      </c>
      <c r="E15" s="6">
        <v>53.714073200853264</v>
      </c>
      <c r="F15" s="6">
        <v>91.773830340000004</v>
      </c>
      <c r="G15" s="11">
        <v>146</v>
      </c>
      <c r="H15" s="6">
        <v>20.329006490264604</v>
      </c>
      <c r="I15" s="6">
        <v>261.77</v>
      </c>
      <c r="K15" s="5"/>
    </row>
    <row r="16" spans="1:11" ht="15" thickBot="1" x14ac:dyDescent="0.4">
      <c r="A16" s="16" t="s">
        <v>42</v>
      </c>
      <c r="B16" s="3">
        <v>2019</v>
      </c>
      <c r="C16" s="6">
        <v>6.7</v>
      </c>
      <c r="D16" s="6">
        <v>38.32185628820757</v>
      </c>
      <c r="E16" s="6">
        <v>56.77</v>
      </c>
      <c r="F16" s="6">
        <v>93.003724120000001</v>
      </c>
      <c r="G16" s="11">
        <v>579</v>
      </c>
      <c r="H16" s="6">
        <v>17.381073761350965</v>
      </c>
      <c r="I16" s="6">
        <v>262.14999999999998</v>
      </c>
      <c r="K16" s="5"/>
    </row>
    <row r="17" spans="1:11" ht="15" thickBot="1" x14ac:dyDescent="0.4">
      <c r="A17" s="16" t="s">
        <v>43</v>
      </c>
      <c r="B17" s="3">
        <v>2019</v>
      </c>
      <c r="C17" s="6">
        <v>6.53</v>
      </c>
      <c r="D17" s="6">
        <v>33.867308166935018</v>
      </c>
      <c r="E17" s="6">
        <v>55.42</v>
      </c>
      <c r="F17" s="6">
        <v>93.123717920000004</v>
      </c>
      <c r="G17" s="11">
        <v>385</v>
      </c>
      <c r="H17" s="6">
        <v>14.720971867007673</v>
      </c>
      <c r="I17" s="6">
        <v>262.17</v>
      </c>
      <c r="K17" s="5"/>
    </row>
    <row r="18" spans="1:11" ht="15" thickBot="1" x14ac:dyDescent="0.4">
      <c r="A18" s="16" t="s">
        <v>44</v>
      </c>
      <c r="B18" s="3">
        <v>2019</v>
      </c>
      <c r="C18" s="6">
        <v>7.1</v>
      </c>
      <c r="D18" s="6">
        <v>27.953259644054548</v>
      </c>
      <c r="E18" s="6">
        <v>56.2</v>
      </c>
      <c r="F18" s="6">
        <v>93.629983039999999</v>
      </c>
      <c r="G18" s="11">
        <v>607</v>
      </c>
      <c r="H18" s="6">
        <v>15.828686058174524</v>
      </c>
      <c r="I18" s="6">
        <v>265.58</v>
      </c>
      <c r="K18" s="5"/>
    </row>
    <row r="19" spans="1:11" ht="15" thickBot="1" x14ac:dyDescent="0.4">
      <c r="A19" s="16" t="s">
        <v>45</v>
      </c>
      <c r="B19" s="3">
        <v>2019</v>
      </c>
      <c r="C19" s="6">
        <v>6.82</v>
      </c>
      <c r="D19" s="6">
        <v>31.405637770839245</v>
      </c>
      <c r="E19" s="6">
        <v>52.12</v>
      </c>
      <c r="F19" s="6">
        <v>91.669871380000004</v>
      </c>
      <c r="G19" s="11">
        <v>251</v>
      </c>
      <c r="H19" s="6">
        <v>14.774582889598864</v>
      </c>
      <c r="I19" s="6">
        <v>263.04999999999995</v>
      </c>
      <c r="K19" s="5"/>
    </row>
    <row r="20" spans="1:11" ht="15" thickBot="1" x14ac:dyDescent="0.4">
      <c r="A20" s="16" t="s">
        <v>46</v>
      </c>
      <c r="B20" s="3">
        <v>2019</v>
      </c>
      <c r="C20" s="6">
        <v>6.95</v>
      </c>
      <c r="D20" s="6">
        <v>40.743506009901665</v>
      </c>
      <c r="E20" s="6">
        <v>46.49</v>
      </c>
      <c r="F20" s="6">
        <v>91.634140450000004</v>
      </c>
      <c r="G20" s="11">
        <v>628</v>
      </c>
      <c r="H20" s="6">
        <v>15.397803425167535</v>
      </c>
      <c r="I20" s="6">
        <v>244.22000000000003</v>
      </c>
      <c r="K20" s="5"/>
    </row>
    <row r="21" spans="1:11" ht="15" thickBot="1" x14ac:dyDescent="0.4">
      <c r="A21" s="16" t="s">
        <v>47</v>
      </c>
      <c r="B21" s="3">
        <v>2019</v>
      </c>
      <c r="C21" s="6">
        <v>7.26</v>
      </c>
      <c r="D21" s="6">
        <v>53.606912651160428</v>
      </c>
      <c r="E21" s="6">
        <v>45.78</v>
      </c>
      <c r="F21" s="6">
        <v>95.159381589999995</v>
      </c>
      <c r="G21" s="11">
        <v>709</v>
      </c>
      <c r="H21" s="6">
        <v>14.112103029416069</v>
      </c>
      <c r="I21" s="6">
        <v>255.09</v>
      </c>
      <c r="K21" s="5"/>
    </row>
    <row r="22" spans="1:11" ht="15" thickBot="1" x14ac:dyDescent="0.4">
      <c r="A22" s="16" t="s">
        <v>48</v>
      </c>
      <c r="B22" s="3">
        <v>2019</v>
      </c>
      <c r="C22" s="6">
        <v>6.89</v>
      </c>
      <c r="D22" s="6">
        <v>35.057176928495529</v>
      </c>
      <c r="E22" s="6">
        <v>50.43</v>
      </c>
      <c r="F22" s="6">
        <v>93.437004540000004</v>
      </c>
      <c r="G22" s="11">
        <v>600</v>
      </c>
      <c r="H22" s="6">
        <v>16.201858736059478</v>
      </c>
      <c r="I22" s="6">
        <v>244.91</v>
      </c>
      <c r="K22" s="5"/>
    </row>
    <row r="23" spans="1:11" ht="15" thickBot="1" x14ac:dyDescent="0.4">
      <c r="A23" s="16" t="s">
        <v>49</v>
      </c>
      <c r="B23" s="3">
        <v>2019</v>
      </c>
      <c r="C23" s="6">
        <v>7.47</v>
      </c>
      <c r="D23" s="6">
        <v>38.774409647159835</v>
      </c>
      <c r="E23" s="6">
        <v>47.53</v>
      </c>
      <c r="F23" s="6">
        <v>94.628406760000004</v>
      </c>
      <c r="G23" s="11">
        <v>538</v>
      </c>
      <c r="H23" s="6">
        <v>11.964566929133857</v>
      </c>
      <c r="I23" s="6">
        <v>256.09000000000003</v>
      </c>
      <c r="K23" s="5"/>
    </row>
    <row r="24" spans="1:11" ht="15" thickBot="1" x14ac:dyDescent="0.4">
      <c r="A24" s="16" t="s">
        <v>50</v>
      </c>
      <c r="B24" s="3">
        <v>2019</v>
      </c>
      <c r="C24" s="6">
        <v>6.6</v>
      </c>
      <c r="D24" s="6">
        <v>31.909677196916331</v>
      </c>
      <c r="E24" s="6">
        <v>48.88</v>
      </c>
      <c r="F24" s="6">
        <v>91.920853370000003</v>
      </c>
      <c r="G24" s="11">
        <v>321</v>
      </c>
      <c r="H24" s="6">
        <v>15.552877138413686</v>
      </c>
      <c r="I24" s="6">
        <v>256.77</v>
      </c>
      <c r="K24" s="5"/>
    </row>
    <row r="25" spans="1:11" ht="15" thickBot="1" x14ac:dyDescent="0.4">
      <c r="A25" s="16" t="s">
        <v>51</v>
      </c>
      <c r="B25" s="3">
        <v>2019</v>
      </c>
      <c r="C25" s="6">
        <v>6.67</v>
      </c>
      <c r="D25" s="6">
        <v>24.680081663204056</v>
      </c>
      <c r="E25" s="6">
        <v>47.33</v>
      </c>
      <c r="F25" s="6">
        <v>91.134128860000004</v>
      </c>
      <c r="G25" s="11">
        <v>388</v>
      </c>
      <c r="H25" s="6">
        <v>11.573402417962004</v>
      </c>
      <c r="I25" s="6">
        <v>238.17999999999998</v>
      </c>
      <c r="K25" s="5"/>
    </row>
    <row r="26" spans="1:11" ht="15" thickBot="1" x14ac:dyDescent="0.4">
      <c r="A26" s="16" t="s">
        <v>52</v>
      </c>
      <c r="B26" s="3">
        <v>2019</v>
      </c>
      <c r="C26" s="6">
        <v>6</v>
      </c>
      <c r="D26" s="6">
        <v>36.668786053320325</v>
      </c>
      <c r="E26" s="6">
        <v>54.22</v>
      </c>
      <c r="F26" s="6">
        <v>88.144309960000001</v>
      </c>
      <c r="G26" s="11">
        <v>156</v>
      </c>
      <c r="H26" s="6">
        <v>13.090960134755756</v>
      </c>
      <c r="I26" s="6">
        <v>264.02999999999997</v>
      </c>
      <c r="K26" s="5"/>
    </row>
    <row r="27" spans="1:11" ht="15" thickBot="1" x14ac:dyDescent="0.4">
      <c r="A27" s="16" t="s">
        <v>53</v>
      </c>
      <c r="B27" s="3">
        <v>2019</v>
      </c>
      <c r="C27" s="6">
        <v>6.82</v>
      </c>
      <c r="D27" s="6">
        <v>50.239146325675648</v>
      </c>
      <c r="E27" s="6">
        <v>50.94</v>
      </c>
      <c r="F27" s="6">
        <v>91.592575679999996</v>
      </c>
      <c r="G27" s="11">
        <v>587</v>
      </c>
      <c r="H27" s="6">
        <v>15.63903017972194</v>
      </c>
      <c r="I27" s="6">
        <v>265.09000000000003</v>
      </c>
      <c r="K27" s="5"/>
    </row>
    <row r="28" spans="1:11" ht="15" thickBot="1" x14ac:dyDescent="0.4">
      <c r="A28" s="16" t="s">
        <v>54</v>
      </c>
      <c r="B28" s="3">
        <v>2019</v>
      </c>
      <c r="C28" s="6">
        <v>10.14</v>
      </c>
      <c r="D28" s="6">
        <v>59.858590436101764</v>
      </c>
      <c r="E28" s="6">
        <v>43.41</v>
      </c>
      <c r="F28" s="6">
        <v>96.665137549999997</v>
      </c>
      <c r="G28" s="11">
        <v>296</v>
      </c>
      <c r="H28" s="6">
        <v>19.875</v>
      </c>
      <c r="I28" s="6">
        <v>274.8</v>
      </c>
      <c r="K28" s="5"/>
    </row>
    <row r="29" spans="1:11" ht="15" thickBot="1" x14ac:dyDescent="0.4">
      <c r="A29" s="16" t="s">
        <v>55</v>
      </c>
      <c r="B29" s="3">
        <v>2019</v>
      </c>
      <c r="C29" s="6">
        <v>7.72</v>
      </c>
      <c r="D29" s="6">
        <v>45.8857408819703</v>
      </c>
      <c r="E29" s="6">
        <v>53.61</v>
      </c>
      <c r="F29" s="6">
        <v>91.047519199999996</v>
      </c>
      <c r="G29" s="11">
        <v>145</v>
      </c>
      <c r="H29" s="6">
        <v>19.849976110845677</v>
      </c>
      <c r="I29" s="6">
        <v>262.77999999999997</v>
      </c>
      <c r="K29" s="5"/>
    </row>
    <row r="30" spans="1:11" ht="15" thickBot="1" x14ac:dyDescent="0.4">
      <c r="A30" s="16" t="s">
        <v>42</v>
      </c>
      <c r="B30" s="3">
        <v>2020</v>
      </c>
      <c r="C30" s="7">
        <v>6.71</v>
      </c>
      <c r="D30" s="6">
        <v>32.814457926195225</v>
      </c>
      <c r="E30" s="6">
        <v>48.34</v>
      </c>
      <c r="F30" s="6">
        <v>91.614999999999995</v>
      </c>
      <c r="G30" s="11">
        <v>568</v>
      </c>
      <c r="H30" s="6">
        <v>17.696020874103066</v>
      </c>
      <c r="I30" s="6">
        <v>263.11</v>
      </c>
      <c r="K30" s="5"/>
    </row>
    <row r="31" spans="1:11" ht="15" thickBot="1" x14ac:dyDescent="0.4">
      <c r="A31" s="16" t="s">
        <v>43</v>
      </c>
      <c r="B31" s="3">
        <v>2020</v>
      </c>
      <c r="C31" s="7">
        <v>6.76</v>
      </c>
      <c r="D31" s="6">
        <v>30.285487662641518</v>
      </c>
      <c r="E31" s="6">
        <v>46.28</v>
      </c>
      <c r="F31" s="6">
        <v>93.88</v>
      </c>
      <c r="G31" s="11">
        <v>388</v>
      </c>
      <c r="H31" s="6">
        <v>14.798131811105344</v>
      </c>
      <c r="I31" s="6">
        <v>263.82</v>
      </c>
      <c r="K31" s="5"/>
    </row>
    <row r="32" spans="1:11" ht="15" thickBot="1" x14ac:dyDescent="0.4">
      <c r="A32" s="16" t="s">
        <v>44</v>
      </c>
      <c r="B32" s="3">
        <v>2020</v>
      </c>
      <c r="C32" s="7">
        <v>7.11</v>
      </c>
      <c r="D32" s="6">
        <v>27.009343728779459</v>
      </c>
      <c r="E32" s="6">
        <v>45.25</v>
      </c>
      <c r="F32" s="6">
        <v>92.635999999999996</v>
      </c>
      <c r="G32" s="11">
        <v>598</v>
      </c>
      <c r="H32" s="6">
        <v>16.741804156845941</v>
      </c>
      <c r="I32" s="6">
        <v>264.83</v>
      </c>
      <c r="K32" s="5"/>
    </row>
    <row r="33" spans="1:11" ht="15" thickBot="1" x14ac:dyDescent="0.4">
      <c r="A33" s="16" t="s">
        <v>45</v>
      </c>
      <c r="B33" s="3">
        <v>2020</v>
      </c>
      <c r="C33" s="7">
        <v>7.03</v>
      </c>
      <c r="D33" s="6">
        <v>28.336935701021357</v>
      </c>
      <c r="E33" s="6">
        <v>45.49</v>
      </c>
      <c r="F33" s="6">
        <v>93.566999999999993</v>
      </c>
      <c r="G33" s="11">
        <v>251</v>
      </c>
      <c r="H33" s="6">
        <v>14.012816188870152</v>
      </c>
      <c r="I33" s="6">
        <v>244.18</v>
      </c>
      <c r="K33" s="5"/>
    </row>
    <row r="34" spans="1:11" ht="15" thickBot="1" x14ac:dyDescent="0.4">
      <c r="A34" s="16" t="s">
        <v>46</v>
      </c>
      <c r="B34" s="3">
        <v>2020</v>
      </c>
      <c r="C34" s="7">
        <v>7.15</v>
      </c>
      <c r="D34" s="6">
        <v>41.088877022333328</v>
      </c>
      <c r="E34" s="6">
        <v>41.73</v>
      </c>
      <c r="F34" s="6">
        <v>94.986999999999995</v>
      </c>
      <c r="G34" s="11">
        <v>626</v>
      </c>
      <c r="H34" s="6">
        <v>14.917460888329437</v>
      </c>
      <c r="I34" s="6">
        <v>257.41999999999996</v>
      </c>
      <c r="K34" s="5"/>
    </row>
    <row r="35" spans="1:11" ht="15" thickBot="1" x14ac:dyDescent="0.4">
      <c r="A35" s="16" t="s">
        <v>47</v>
      </c>
      <c r="B35" s="3">
        <v>2020</v>
      </c>
      <c r="C35" s="7">
        <v>7.31</v>
      </c>
      <c r="D35" s="6">
        <v>49.251833150211077</v>
      </c>
      <c r="E35" s="6">
        <v>40.85</v>
      </c>
      <c r="F35" s="6">
        <v>95.406999999999996</v>
      </c>
      <c r="G35" s="11">
        <v>715</v>
      </c>
      <c r="H35" s="6">
        <v>13.163555924236141</v>
      </c>
      <c r="I35" s="6">
        <v>245.99</v>
      </c>
      <c r="K35" s="5"/>
    </row>
    <row r="36" spans="1:11" ht="15" thickBot="1" x14ac:dyDescent="0.4">
      <c r="A36" s="16" t="s">
        <v>48</v>
      </c>
      <c r="B36" s="3">
        <v>2020</v>
      </c>
      <c r="C36" s="7">
        <v>7.07</v>
      </c>
      <c r="D36" s="6">
        <v>34.917788519508385</v>
      </c>
      <c r="E36" s="6">
        <v>46.37</v>
      </c>
      <c r="F36" s="6">
        <v>92.819000000000003</v>
      </c>
      <c r="G36" s="11">
        <v>604</v>
      </c>
      <c r="H36" s="6">
        <v>15.118771929824561</v>
      </c>
      <c r="I36" s="6">
        <v>258.73</v>
      </c>
      <c r="K36" s="5"/>
    </row>
    <row r="37" spans="1:11" ht="15" thickBot="1" x14ac:dyDescent="0.4">
      <c r="A37" s="16" t="s">
        <v>49</v>
      </c>
      <c r="B37" s="3">
        <v>2020</v>
      </c>
      <c r="C37" s="7">
        <v>7.52</v>
      </c>
      <c r="D37" s="6">
        <v>40.671061205261886</v>
      </c>
      <c r="E37" s="6">
        <v>44.6</v>
      </c>
      <c r="F37" s="6">
        <v>93.7</v>
      </c>
      <c r="G37" s="11">
        <v>538</v>
      </c>
      <c r="H37" s="6">
        <v>11.505658669081033</v>
      </c>
      <c r="I37" s="6">
        <v>256.5</v>
      </c>
      <c r="K37" s="5"/>
    </row>
    <row r="38" spans="1:11" ht="15" thickBot="1" x14ac:dyDescent="0.4">
      <c r="A38" s="16" t="s">
        <v>50</v>
      </c>
      <c r="B38" s="3">
        <v>2020</v>
      </c>
      <c r="C38" s="7">
        <v>6.83</v>
      </c>
      <c r="D38" s="6">
        <v>31.049424037738881</v>
      </c>
      <c r="E38" s="6">
        <v>44.25</v>
      </c>
      <c r="F38" s="6">
        <v>93.048000000000002</v>
      </c>
      <c r="G38" s="11">
        <v>320</v>
      </c>
      <c r="H38" s="6">
        <v>15.323641928079571</v>
      </c>
      <c r="I38" s="6">
        <v>241.07</v>
      </c>
      <c r="K38" s="5"/>
    </row>
    <row r="39" spans="1:11" ht="15" thickBot="1" x14ac:dyDescent="0.4">
      <c r="A39" s="16" t="s">
        <v>51</v>
      </c>
      <c r="B39" s="3">
        <v>2020</v>
      </c>
      <c r="C39" s="7">
        <v>6.76</v>
      </c>
      <c r="D39" s="6">
        <v>22.921139834406624</v>
      </c>
      <c r="E39" s="6">
        <v>40.08</v>
      </c>
      <c r="F39" s="6">
        <v>91.138999999999996</v>
      </c>
      <c r="G39" s="11">
        <v>389</v>
      </c>
      <c r="H39" s="6">
        <v>11.042749371332775</v>
      </c>
      <c r="I39" s="6">
        <v>264.5</v>
      </c>
      <c r="K39" s="5"/>
    </row>
    <row r="40" spans="1:11" ht="15" thickBot="1" x14ac:dyDescent="0.4">
      <c r="A40" s="16" t="s">
        <v>52</v>
      </c>
      <c r="B40" s="3">
        <v>2020</v>
      </c>
      <c r="C40" s="7">
        <v>6.01</v>
      </c>
      <c r="D40" s="6">
        <v>33.236327989823891</v>
      </c>
      <c r="E40" s="6">
        <v>45.42</v>
      </c>
      <c r="F40" s="6">
        <v>85.385999999999996</v>
      </c>
      <c r="G40" s="11">
        <v>156</v>
      </c>
      <c r="H40" s="6">
        <v>12.762116991643454</v>
      </c>
      <c r="I40" s="6">
        <v>265.12</v>
      </c>
      <c r="K40" s="5"/>
    </row>
    <row r="41" spans="1:11" ht="15" thickBot="1" x14ac:dyDescent="0.4">
      <c r="A41" s="16" t="s">
        <v>53</v>
      </c>
      <c r="B41" s="3">
        <v>2020</v>
      </c>
      <c r="C41" s="7">
        <v>6.83</v>
      </c>
      <c r="D41" s="6">
        <v>47.47439976238612</v>
      </c>
      <c r="E41" s="6">
        <v>45.74</v>
      </c>
      <c r="F41" s="6">
        <v>90.236999999999995</v>
      </c>
      <c r="G41" s="11">
        <v>589</v>
      </c>
      <c r="H41" s="6">
        <v>15.238606340819022</v>
      </c>
      <c r="I41" s="6">
        <v>273.7</v>
      </c>
      <c r="K41" s="5"/>
    </row>
    <row r="42" spans="1:11" ht="15" thickBot="1" x14ac:dyDescent="0.4">
      <c r="A42" s="16" t="s">
        <v>54</v>
      </c>
      <c r="B42" s="3">
        <v>2020</v>
      </c>
      <c r="C42" s="7">
        <v>10.17</v>
      </c>
      <c r="D42" s="6">
        <v>57.157077647130265</v>
      </c>
      <c r="E42" s="6">
        <v>45.01</v>
      </c>
      <c r="F42" s="6">
        <v>97.504000000000005</v>
      </c>
      <c r="G42" s="11">
        <v>298</v>
      </c>
      <c r="H42" s="6">
        <v>18.699100299900035</v>
      </c>
      <c r="I42" s="6">
        <v>264.33</v>
      </c>
      <c r="K42" s="5"/>
    </row>
    <row r="43" spans="1:11" ht="15" thickBot="1" x14ac:dyDescent="0.4">
      <c r="A43" s="16" t="s">
        <v>55</v>
      </c>
      <c r="B43" s="3">
        <v>2020</v>
      </c>
      <c r="C43" s="7">
        <v>7.89</v>
      </c>
      <c r="D43" s="6">
        <v>43.078587023108604</v>
      </c>
      <c r="E43" s="6">
        <v>49.53</v>
      </c>
      <c r="F43" s="6">
        <v>93.18</v>
      </c>
      <c r="G43" s="11">
        <v>147</v>
      </c>
      <c r="H43" s="6">
        <v>17.829832833261893</v>
      </c>
      <c r="I43" s="6">
        <v>259.85000000000002</v>
      </c>
      <c r="K43" s="5"/>
    </row>
    <row r="44" spans="1:11" ht="15" thickBot="1" x14ac:dyDescent="0.4">
      <c r="A44" s="16" t="s">
        <v>42</v>
      </c>
      <c r="B44" s="3">
        <v>2021</v>
      </c>
      <c r="C44" s="7">
        <v>6.72</v>
      </c>
      <c r="D44" s="6">
        <v>34.947961198536866</v>
      </c>
      <c r="E44" s="6">
        <v>48.19</v>
      </c>
      <c r="F44" s="6">
        <v>94.31</v>
      </c>
      <c r="G44" s="11">
        <v>571</v>
      </c>
      <c r="H44" s="6">
        <v>19.173827071723888</v>
      </c>
      <c r="I44" s="6">
        <v>263.04000000000002</v>
      </c>
      <c r="K44" s="5"/>
    </row>
    <row r="45" spans="1:11" ht="15" thickBot="1" x14ac:dyDescent="0.4">
      <c r="A45" s="16" t="s">
        <v>43</v>
      </c>
      <c r="B45" s="3">
        <v>2021</v>
      </c>
      <c r="C45" s="7">
        <v>6.8</v>
      </c>
      <c r="D45" s="6">
        <v>32.028706069573765</v>
      </c>
      <c r="E45" s="6">
        <v>46.11</v>
      </c>
      <c r="F45" s="6">
        <v>92.93</v>
      </c>
      <c r="G45" s="11">
        <v>388</v>
      </c>
      <c r="H45" s="6">
        <v>15.956721123531098</v>
      </c>
      <c r="I45" s="6">
        <v>267.28000000000003</v>
      </c>
      <c r="K45" s="5"/>
    </row>
    <row r="46" spans="1:11" ht="15" thickBot="1" x14ac:dyDescent="0.4">
      <c r="A46" s="16" t="s">
        <v>44</v>
      </c>
      <c r="B46" s="3">
        <v>2021</v>
      </c>
      <c r="C46" s="7">
        <v>7.12</v>
      </c>
      <c r="D46" s="6">
        <v>28.955586694689394</v>
      </c>
      <c r="E46" s="6">
        <v>45.08</v>
      </c>
      <c r="F46" s="6">
        <v>92.93</v>
      </c>
      <c r="G46" s="11">
        <v>599</v>
      </c>
      <c r="H46" s="6">
        <v>16.659125516641289</v>
      </c>
      <c r="I46" s="6">
        <v>266.42</v>
      </c>
      <c r="K46" s="5"/>
    </row>
    <row r="47" spans="1:11" ht="15" thickBot="1" x14ac:dyDescent="0.4">
      <c r="A47" s="16" t="s">
        <v>45</v>
      </c>
      <c r="B47" s="3">
        <v>2021</v>
      </c>
      <c r="C47" s="7">
        <v>7.04</v>
      </c>
      <c r="D47" s="6">
        <v>29.719719569605427</v>
      </c>
      <c r="E47" s="6">
        <v>45.43</v>
      </c>
      <c r="F47" s="6">
        <v>92.48</v>
      </c>
      <c r="G47" s="11">
        <v>248</v>
      </c>
      <c r="H47" s="6">
        <v>15.454996186117468</v>
      </c>
      <c r="I47" s="6">
        <v>264.85000000000002</v>
      </c>
      <c r="K47" s="5"/>
    </row>
    <row r="48" spans="1:11" ht="15" thickBot="1" x14ac:dyDescent="0.4">
      <c r="A48" s="16" t="s">
        <v>46</v>
      </c>
      <c r="B48" s="3">
        <v>2021</v>
      </c>
      <c r="C48" s="7">
        <v>7.39</v>
      </c>
      <c r="D48" s="6">
        <v>44.375795749262579</v>
      </c>
      <c r="E48" s="6">
        <v>41.54</v>
      </c>
      <c r="F48" s="6">
        <v>93.34</v>
      </c>
      <c r="G48" s="11">
        <v>627</v>
      </c>
      <c r="H48" s="6">
        <v>17.001671541997492</v>
      </c>
      <c r="I48" s="6">
        <v>244.12</v>
      </c>
      <c r="K48" s="5"/>
    </row>
    <row r="49" spans="1:11" ht="15" thickBot="1" x14ac:dyDescent="0.4">
      <c r="A49" s="16" t="s">
        <v>47</v>
      </c>
      <c r="B49" s="3">
        <v>2021</v>
      </c>
      <c r="C49" s="7">
        <v>7.46</v>
      </c>
      <c r="D49" s="6">
        <v>53.302080986055145</v>
      </c>
      <c r="E49" s="6">
        <v>40.67</v>
      </c>
      <c r="F49" s="6">
        <v>94.08</v>
      </c>
      <c r="G49" s="11">
        <v>724</v>
      </c>
      <c r="H49" s="6">
        <v>14.096168523889483</v>
      </c>
      <c r="I49" s="6">
        <v>257.01</v>
      </c>
      <c r="K49" s="5"/>
    </row>
    <row r="50" spans="1:11" ht="15" thickBot="1" x14ac:dyDescent="0.4">
      <c r="A50" s="16" t="s">
        <v>48</v>
      </c>
      <c r="B50" s="3">
        <v>2021</v>
      </c>
      <c r="C50" s="7">
        <v>7.08</v>
      </c>
      <c r="D50" s="6">
        <v>37.172634761632764</v>
      </c>
      <c r="E50" s="6">
        <v>46.19</v>
      </c>
      <c r="F50" s="6">
        <v>89.98</v>
      </c>
      <c r="G50" s="11">
        <v>614</v>
      </c>
      <c r="H50" s="6">
        <v>16.464355278535255</v>
      </c>
      <c r="I50" s="6">
        <v>248.85000000000002</v>
      </c>
      <c r="K50" s="5"/>
    </row>
    <row r="51" spans="1:11" ht="15" thickBot="1" x14ac:dyDescent="0.4">
      <c r="A51" s="16" t="s">
        <v>49</v>
      </c>
      <c r="B51" s="3">
        <v>2021</v>
      </c>
      <c r="C51" s="7">
        <v>7.53</v>
      </c>
      <c r="D51" s="6">
        <v>43.634962126586267</v>
      </c>
      <c r="E51" s="6">
        <v>44.36</v>
      </c>
      <c r="F51" s="6">
        <v>93.13</v>
      </c>
      <c r="G51" s="11">
        <v>538</v>
      </c>
      <c r="H51" s="6">
        <v>12.432167128114775</v>
      </c>
      <c r="I51" s="6">
        <v>258.51</v>
      </c>
      <c r="K51" s="5"/>
    </row>
    <row r="52" spans="1:11" ht="15" thickBot="1" x14ac:dyDescent="0.4">
      <c r="A52" s="16" t="s">
        <v>50</v>
      </c>
      <c r="B52" s="3">
        <v>2021</v>
      </c>
      <c r="C52" s="7">
        <v>6.85</v>
      </c>
      <c r="D52" s="6">
        <v>33.505998459211384</v>
      </c>
      <c r="E52" s="6">
        <v>44.09</v>
      </c>
      <c r="F52" s="6">
        <v>93.36</v>
      </c>
      <c r="G52" s="11">
        <v>321</v>
      </c>
      <c r="H52" s="6">
        <v>17.671721677074039</v>
      </c>
      <c r="I52" s="6">
        <v>257.52</v>
      </c>
      <c r="K52" s="5"/>
    </row>
    <row r="53" spans="1:11" ht="15" thickBot="1" x14ac:dyDescent="0.4">
      <c r="A53" s="16" t="s">
        <v>51</v>
      </c>
      <c r="B53" s="3">
        <v>2021</v>
      </c>
      <c r="C53" s="7">
        <v>6.91</v>
      </c>
      <c r="D53" s="6">
        <v>24.332104116034284</v>
      </c>
      <c r="E53" s="6">
        <v>39.700000000000003</v>
      </c>
      <c r="F53" s="6">
        <v>93.08</v>
      </c>
      <c r="G53" s="11">
        <v>390</v>
      </c>
      <c r="H53" s="6">
        <v>11.390713834491471</v>
      </c>
      <c r="I53" s="6">
        <v>241.76</v>
      </c>
      <c r="K53" s="5"/>
    </row>
    <row r="54" spans="1:11" ht="15" thickBot="1" x14ac:dyDescent="0.4">
      <c r="A54" s="16" t="s">
        <v>52</v>
      </c>
      <c r="B54" s="3">
        <v>2021</v>
      </c>
      <c r="C54" s="7">
        <v>6.02</v>
      </c>
      <c r="D54" s="6">
        <v>35.268232127576823</v>
      </c>
      <c r="E54" s="6">
        <v>45.24</v>
      </c>
      <c r="F54" s="6">
        <v>87.52</v>
      </c>
      <c r="G54" s="11">
        <v>157</v>
      </c>
      <c r="H54" s="6">
        <v>13.288542291541692</v>
      </c>
      <c r="I54" s="6">
        <v>264.44</v>
      </c>
      <c r="K54" s="5"/>
    </row>
    <row r="55" spans="1:11" ht="15" thickBot="1" x14ac:dyDescent="0.4">
      <c r="A55" s="16" t="s">
        <v>53</v>
      </c>
      <c r="B55" s="3">
        <v>2021</v>
      </c>
      <c r="C55" s="7">
        <v>7</v>
      </c>
      <c r="D55" s="6">
        <v>50.77247235927657</v>
      </c>
      <c r="E55" s="6">
        <v>45.56</v>
      </c>
      <c r="F55" s="6">
        <v>92.06</v>
      </c>
      <c r="G55" s="11">
        <v>597</v>
      </c>
      <c r="H55" s="6">
        <v>16.52892863661252</v>
      </c>
      <c r="I55" s="6">
        <v>267.55</v>
      </c>
      <c r="K55" s="5"/>
    </row>
    <row r="56" spans="1:11" ht="15" thickBot="1" x14ac:dyDescent="0.4">
      <c r="A56" s="16" t="s">
        <v>54</v>
      </c>
      <c r="B56" s="3">
        <v>2021</v>
      </c>
      <c r="C56" s="7">
        <v>10.43</v>
      </c>
      <c r="D56" s="6">
        <v>60.568889022815583</v>
      </c>
      <c r="E56" s="6">
        <v>44.89</v>
      </c>
      <c r="F56" s="6">
        <v>97.99</v>
      </c>
      <c r="G56" s="11">
        <v>303</v>
      </c>
      <c r="H56" s="6">
        <v>19.842230347349176</v>
      </c>
      <c r="I56" s="6">
        <v>274.94</v>
      </c>
      <c r="K56" s="5"/>
    </row>
    <row r="57" spans="1:11" ht="15" thickBot="1" x14ac:dyDescent="0.4">
      <c r="A57" s="16" t="s">
        <v>55</v>
      </c>
      <c r="B57" s="3">
        <v>2021</v>
      </c>
      <c r="C57" s="7">
        <v>7.9</v>
      </c>
      <c r="D57" s="6">
        <v>45.72618005725311</v>
      </c>
      <c r="E57" s="6">
        <v>49.39</v>
      </c>
      <c r="F57" s="6">
        <v>91.99</v>
      </c>
      <c r="G57" s="11">
        <v>154</v>
      </c>
      <c r="H57" s="6">
        <v>18.319320214669052</v>
      </c>
      <c r="I57" s="6">
        <v>267.81</v>
      </c>
      <c r="K57" s="5"/>
    </row>
    <row r="58" spans="1:11" ht="15" thickBot="1" x14ac:dyDescent="0.4">
      <c r="A58" s="16" t="s">
        <v>42</v>
      </c>
      <c r="B58" s="3">
        <v>2022</v>
      </c>
      <c r="C58" s="7">
        <v>6.74</v>
      </c>
      <c r="D58" s="6">
        <v>37.687171834577455</v>
      </c>
      <c r="E58" s="6">
        <v>48.07</v>
      </c>
      <c r="F58" s="6">
        <v>93.61</v>
      </c>
      <c r="G58" s="11">
        <v>571</v>
      </c>
      <c r="H58" s="6">
        <v>16.624375000000001</v>
      </c>
      <c r="I58" s="6">
        <v>261.54000000000002</v>
      </c>
      <c r="K58" s="5"/>
    </row>
    <row r="59" spans="1:11" ht="15" thickBot="1" x14ac:dyDescent="0.4">
      <c r="A59" s="16" t="s">
        <v>43</v>
      </c>
      <c r="B59" s="3">
        <v>2022</v>
      </c>
      <c r="C59" s="7">
        <v>7</v>
      </c>
      <c r="D59" s="6">
        <v>34.77962779808324</v>
      </c>
      <c r="E59" s="6">
        <v>45.97</v>
      </c>
      <c r="F59" s="6">
        <v>94.74</v>
      </c>
      <c r="G59" s="11">
        <v>389</v>
      </c>
      <c r="H59" s="6">
        <v>14.276943005181348</v>
      </c>
      <c r="I59" s="6">
        <v>266.79000000000002</v>
      </c>
      <c r="K59" s="5"/>
    </row>
    <row r="60" spans="1:11" ht="15" thickBot="1" x14ac:dyDescent="0.4">
      <c r="A60" s="16" t="s">
        <v>44</v>
      </c>
      <c r="B60" s="3">
        <v>2022</v>
      </c>
      <c r="C60" s="7">
        <v>7.15</v>
      </c>
      <c r="D60" s="6">
        <v>31.514283910053383</v>
      </c>
      <c r="E60" s="6">
        <v>44.93</v>
      </c>
      <c r="F60" s="6">
        <v>93.04</v>
      </c>
      <c r="G60" s="11">
        <v>600</v>
      </c>
      <c r="H60" s="6">
        <v>14.513276026743075</v>
      </c>
      <c r="I60" s="6">
        <v>267.43</v>
      </c>
      <c r="K60" s="5"/>
    </row>
    <row r="61" spans="1:11" ht="15" thickBot="1" x14ac:dyDescent="0.4">
      <c r="A61" s="16" t="s">
        <v>45</v>
      </c>
      <c r="B61" s="3">
        <v>2022</v>
      </c>
      <c r="C61" s="7">
        <v>7.17</v>
      </c>
      <c r="D61" s="6">
        <v>32.019155139309227</v>
      </c>
      <c r="E61" s="6">
        <v>45.39</v>
      </c>
      <c r="F61" s="6">
        <v>92.74</v>
      </c>
      <c r="G61" s="11">
        <v>249</v>
      </c>
      <c r="H61" s="6">
        <v>13.879834254143647</v>
      </c>
      <c r="I61" s="6">
        <v>263.84000000000003</v>
      </c>
      <c r="K61" s="5"/>
    </row>
    <row r="62" spans="1:11" ht="15" thickBot="1" x14ac:dyDescent="0.4">
      <c r="A62" s="16" t="s">
        <v>46</v>
      </c>
      <c r="B62" s="3">
        <v>2022</v>
      </c>
      <c r="C62" s="7">
        <v>7.41</v>
      </c>
      <c r="D62" s="6">
        <v>48.372395611261105</v>
      </c>
      <c r="E62" s="6">
        <v>41.39</v>
      </c>
      <c r="F62" s="6">
        <v>93.34</v>
      </c>
      <c r="G62" s="11">
        <v>628</v>
      </c>
      <c r="H62" s="6">
        <v>14.531796072779679</v>
      </c>
      <c r="I62" s="6">
        <v>245.98999999999998</v>
      </c>
      <c r="K62" s="5"/>
    </row>
    <row r="63" spans="1:11" ht="15" thickBot="1" x14ac:dyDescent="0.4">
      <c r="A63" s="16" t="s">
        <v>47</v>
      </c>
      <c r="B63" s="3">
        <v>2022</v>
      </c>
      <c r="C63" s="7">
        <v>7.48</v>
      </c>
      <c r="D63" s="6">
        <v>57.972970872605451</v>
      </c>
      <c r="E63" s="6">
        <v>40.520000000000003</v>
      </c>
      <c r="F63" s="6">
        <v>95.52</v>
      </c>
      <c r="G63" s="11">
        <v>731</v>
      </c>
      <c r="H63" s="6">
        <v>12.691098044578149</v>
      </c>
      <c r="I63" s="6">
        <v>256.27999999999997</v>
      </c>
      <c r="K63" s="5"/>
    </row>
    <row r="64" spans="1:11" ht="15" thickBot="1" x14ac:dyDescent="0.4">
      <c r="A64" s="16" t="s">
        <v>48</v>
      </c>
      <c r="B64" s="3">
        <v>2022</v>
      </c>
      <c r="C64" s="7">
        <v>7.36</v>
      </c>
      <c r="D64" s="6">
        <v>40.641366670106194</v>
      </c>
      <c r="E64" s="6">
        <v>46.03</v>
      </c>
      <c r="F64" s="6">
        <v>92.18</v>
      </c>
      <c r="G64" s="11">
        <v>621</v>
      </c>
      <c r="H64" s="6">
        <v>14.319134318103744</v>
      </c>
      <c r="I64" s="6">
        <v>249.41000000000003</v>
      </c>
      <c r="K64" s="5"/>
    </row>
    <row r="65" spans="1:12" ht="15" thickBot="1" x14ac:dyDescent="0.4">
      <c r="A65" s="16" t="s">
        <v>49</v>
      </c>
      <c r="B65" s="3">
        <v>2022</v>
      </c>
      <c r="C65" s="7">
        <v>7.59</v>
      </c>
      <c r="D65" s="6">
        <v>47.793489519402335</v>
      </c>
      <c r="E65" s="6">
        <v>44.16</v>
      </c>
      <c r="F65" s="6">
        <v>93.31</v>
      </c>
      <c r="G65" s="11">
        <v>539</v>
      </c>
      <c r="H65" s="6">
        <v>10.204210526315789</v>
      </c>
      <c r="I65" s="6">
        <v>255.93</v>
      </c>
      <c r="K65" s="5"/>
    </row>
    <row r="66" spans="1:12" ht="15" thickBot="1" x14ac:dyDescent="0.4">
      <c r="A66" s="16" t="s">
        <v>50</v>
      </c>
      <c r="B66" s="3">
        <v>2022</v>
      </c>
      <c r="C66" s="7">
        <v>7.12</v>
      </c>
      <c r="D66" s="6">
        <v>36.768001343101915</v>
      </c>
      <c r="E66" s="6">
        <v>43.96</v>
      </c>
      <c r="F66" s="6">
        <v>93.92</v>
      </c>
      <c r="G66" s="11">
        <v>321</v>
      </c>
      <c r="H66" s="6">
        <v>15.493537015276146</v>
      </c>
      <c r="I66" s="6">
        <v>254.2</v>
      </c>
      <c r="K66" s="5"/>
    </row>
    <row r="67" spans="1:12" ht="15" thickBot="1" x14ac:dyDescent="0.4">
      <c r="A67" s="16" t="s">
        <v>51</v>
      </c>
      <c r="B67" s="3">
        <v>2022</v>
      </c>
      <c r="C67" s="7">
        <v>7.18</v>
      </c>
      <c r="D67" s="6">
        <v>26.280356770556324</v>
      </c>
      <c r="E67" s="6">
        <v>39.56</v>
      </c>
      <c r="F67" s="6">
        <v>90.68</v>
      </c>
      <c r="G67" s="11">
        <v>392</v>
      </c>
      <c r="H67" s="6">
        <v>10.422162162162163</v>
      </c>
      <c r="I67" s="6">
        <v>242.34</v>
      </c>
      <c r="K67" s="5"/>
    </row>
    <row r="68" spans="1:12" ht="15" thickBot="1" x14ac:dyDescent="0.4">
      <c r="A68" s="16" t="s">
        <v>52</v>
      </c>
      <c r="B68" s="3">
        <v>2022</v>
      </c>
      <c r="C68" s="7">
        <v>6.21</v>
      </c>
      <c r="D68" s="6">
        <v>37.990767177202834</v>
      </c>
      <c r="E68" s="6">
        <v>45.1</v>
      </c>
      <c r="F68" s="6">
        <v>88.71</v>
      </c>
      <c r="G68" s="11">
        <v>159</v>
      </c>
      <c r="H68" s="6">
        <v>11.733153638814017</v>
      </c>
      <c r="I68" s="6">
        <v>262.86</v>
      </c>
      <c r="K68" s="5"/>
    </row>
    <row r="69" spans="1:12" ht="15" thickBot="1" x14ac:dyDescent="0.4">
      <c r="A69" s="16" t="s">
        <v>53</v>
      </c>
      <c r="B69" s="3">
        <v>2022</v>
      </c>
      <c r="C69" s="7">
        <v>7.02</v>
      </c>
      <c r="D69" s="6">
        <v>56.693186846389608</v>
      </c>
      <c r="E69" s="6">
        <v>45.41</v>
      </c>
      <c r="F69" s="6">
        <v>92.96</v>
      </c>
      <c r="G69" s="11">
        <v>601</v>
      </c>
      <c r="H69" s="6">
        <v>14.672637134175595</v>
      </c>
      <c r="I69" s="6">
        <v>264.39</v>
      </c>
      <c r="K69" s="5"/>
    </row>
    <row r="70" spans="1:12" ht="15" thickBot="1" x14ac:dyDescent="0.4">
      <c r="A70" s="16" t="s">
        <v>54</v>
      </c>
      <c r="B70" s="3">
        <v>2022</v>
      </c>
      <c r="C70" s="7">
        <v>10.44</v>
      </c>
      <c r="D70" s="6">
        <v>66.169963197694813</v>
      </c>
      <c r="E70" s="6">
        <v>44.79</v>
      </c>
      <c r="F70" s="6">
        <v>97.95</v>
      </c>
      <c r="G70" s="11">
        <v>304</v>
      </c>
      <c r="H70" s="6">
        <v>18.757997218358831</v>
      </c>
      <c r="I70" s="6">
        <v>272.77</v>
      </c>
      <c r="K70" s="5"/>
    </row>
    <row r="71" spans="1:12" ht="15" thickBot="1" x14ac:dyDescent="0.4">
      <c r="A71" s="16" t="s">
        <v>55</v>
      </c>
      <c r="B71" s="3">
        <v>2022</v>
      </c>
      <c r="C71" s="7">
        <v>8.19</v>
      </c>
      <c r="D71" s="6">
        <v>49.413041657866295</v>
      </c>
      <c r="E71" s="6">
        <v>49.29</v>
      </c>
      <c r="F71" s="6">
        <v>95.38</v>
      </c>
      <c r="G71" s="11">
        <v>155</v>
      </c>
      <c r="H71" s="6">
        <v>17.000410172272353</v>
      </c>
      <c r="I71" s="6">
        <v>268.31</v>
      </c>
      <c r="K71" s="5"/>
    </row>
    <row r="72" spans="1:12" x14ac:dyDescent="0.35">
      <c r="L72" s="5"/>
    </row>
    <row r="73" spans="1:12" x14ac:dyDescent="0.35">
      <c r="L73" s="5"/>
    </row>
    <row r="74" spans="1:12" x14ac:dyDescent="0.35">
      <c r="L74" s="5"/>
    </row>
    <row r="75" spans="1:12" x14ac:dyDescent="0.35">
      <c r="L75" s="5"/>
    </row>
    <row r="76" spans="1:12" x14ac:dyDescent="0.35">
      <c r="L76" s="5"/>
    </row>
  </sheetData>
  <sortState xmlns:xlrd2="http://schemas.microsoft.com/office/spreadsheetml/2017/richdata2" ref="A2:I71">
    <sortCondition ref="B2:B71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3A07-A5BF-4AA7-B31C-61556AA3FD45}">
  <dimension ref="A1:L76"/>
  <sheetViews>
    <sheetView workbookViewId="0">
      <selection activeCell="J2" sqref="J2"/>
    </sheetView>
  </sheetViews>
  <sheetFormatPr defaultRowHeight="14.5" x14ac:dyDescent="0.35"/>
  <cols>
    <col min="1" max="1" width="17.6328125" customWidth="1"/>
    <col min="2" max="2" width="6.08984375" bestFit="1" customWidth="1"/>
    <col min="3" max="9" width="10.08984375" customWidth="1"/>
  </cols>
  <sheetData>
    <row r="1" spans="1:11" x14ac:dyDescent="0.35">
      <c r="A1" s="2" t="s">
        <v>0</v>
      </c>
      <c r="B1" s="2" t="s">
        <v>1</v>
      </c>
      <c r="C1" s="2" t="s">
        <v>17</v>
      </c>
      <c r="D1" s="2" t="s">
        <v>2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38</v>
      </c>
    </row>
    <row r="2" spans="1:11" x14ac:dyDescent="0.35">
      <c r="A2" s="1" t="s">
        <v>3</v>
      </c>
      <c r="B2" s="3">
        <v>2018</v>
      </c>
      <c r="C2" s="6">
        <v>6.68</v>
      </c>
      <c r="D2" s="6">
        <v>35.644513141910856</v>
      </c>
      <c r="E2" s="6">
        <v>56.952994462829643</v>
      </c>
      <c r="F2" s="6">
        <v>91.660599590000004</v>
      </c>
      <c r="G2" s="1">
        <v>578</v>
      </c>
      <c r="H2" s="6">
        <v>18.172856178257934</v>
      </c>
      <c r="I2" s="6">
        <v>262.18</v>
      </c>
    </row>
    <row r="3" spans="1:11" x14ac:dyDescent="0.35">
      <c r="A3" s="1" t="s">
        <v>3</v>
      </c>
      <c r="B3" s="3">
        <v>2019</v>
      </c>
      <c r="C3" s="6">
        <v>6.7</v>
      </c>
      <c r="D3" s="6">
        <v>38.32185628820757</v>
      </c>
      <c r="E3" s="6">
        <v>56.77</v>
      </c>
      <c r="F3" s="6">
        <v>93.003724120000001</v>
      </c>
      <c r="G3" s="1">
        <v>579</v>
      </c>
      <c r="H3" s="6">
        <v>17.381073761350965</v>
      </c>
      <c r="I3" s="6">
        <v>262.14999999999998</v>
      </c>
    </row>
    <row r="4" spans="1:11" x14ac:dyDescent="0.35">
      <c r="A4" s="1" t="s">
        <v>3</v>
      </c>
      <c r="B4" s="3">
        <v>2020</v>
      </c>
      <c r="C4" s="7">
        <v>6.71</v>
      </c>
      <c r="D4" s="6">
        <v>32.814457926195225</v>
      </c>
      <c r="E4" s="6">
        <v>48.34</v>
      </c>
      <c r="F4" s="6">
        <v>91.614999999999995</v>
      </c>
      <c r="G4" s="1">
        <v>568</v>
      </c>
      <c r="H4" s="6">
        <v>17.696020874103066</v>
      </c>
      <c r="I4" s="6">
        <v>263.11</v>
      </c>
    </row>
    <row r="5" spans="1:11" x14ac:dyDescent="0.35">
      <c r="A5" s="1" t="s">
        <v>3</v>
      </c>
      <c r="B5" s="3">
        <v>2021</v>
      </c>
      <c r="C5" s="7">
        <v>6.72</v>
      </c>
      <c r="D5" s="6">
        <v>34.947961198536866</v>
      </c>
      <c r="E5" s="6">
        <v>48.19</v>
      </c>
      <c r="F5" s="6">
        <v>94.31</v>
      </c>
      <c r="G5" s="1">
        <v>571</v>
      </c>
      <c r="H5" s="6">
        <v>19.173827071723888</v>
      </c>
      <c r="I5" s="6">
        <v>263.04000000000002</v>
      </c>
    </row>
    <row r="6" spans="1:11" x14ac:dyDescent="0.35">
      <c r="A6" s="1" t="s">
        <v>3</v>
      </c>
      <c r="B6" s="3">
        <v>2022</v>
      </c>
      <c r="C6" s="7">
        <v>6.74</v>
      </c>
      <c r="D6" s="6">
        <v>37.687171834577455</v>
      </c>
      <c r="E6" s="6">
        <v>48.07</v>
      </c>
      <c r="F6" s="6">
        <v>93.61</v>
      </c>
      <c r="G6" s="1">
        <v>571</v>
      </c>
      <c r="H6" s="6">
        <v>16.624375000000001</v>
      </c>
      <c r="I6" s="6">
        <v>261.54000000000002</v>
      </c>
    </row>
    <row r="7" spans="1:11" x14ac:dyDescent="0.35">
      <c r="A7" s="1" t="s">
        <v>4</v>
      </c>
      <c r="B7" s="3">
        <v>2018</v>
      </c>
      <c r="C7" s="6">
        <v>6.27</v>
      </c>
      <c r="D7" s="6">
        <v>31.831117380232374</v>
      </c>
      <c r="E7" s="6">
        <v>54.281539868751416</v>
      </c>
      <c r="F7" s="6">
        <v>90.616516689999997</v>
      </c>
      <c r="G7" s="1">
        <v>385</v>
      </c>
      <c r="H7" s="6">
        <v>15.912800447177194</v>
      </c>
      <c r="I7" s="6">
        <v>262.60000000000002</v>
      </c>
      <c r="K7" s="5"/>
    </row>
    <row r="8" spans="1:11" x14ac:dyDescent="0.35">
      <c r="A8" s="1" t="s">
        <v>4</v>
      </c>
      <c r="B8" s="3">
        <v>2019</v>
      </c>
      <c r="C8" s="6">
        <v>6.53</v>
      </c>
      <c r="D8" s="6">
        <v>33.867308166935018</v>
      </c>
      <c r="E8" s="6">
        <v>55.42</v>
      </c>
      <c r="F8" s="6">
        <v>93.123717920000004</v>
      </c>
      <c r="G8" s="1">
        <v>385</v>
      </c>
      <c r="H8" s="6">
        <v>14.720971867007673</v>
      </c>
      <c r="I8" s="6">
        <v>262.17</v>
      </c>
      <c r="K8" s="5"/>
    </row>
    <row r="9" spans="1:11" x14ac:dyDescent="0.35">
      <c r="A9" s="1" t="s">
        <v>4</v>
      </c>
      <c r="B9" s="3">
        <v>2020</v>
      </c>
      <c r="C9" s="7">
        <v>6.76</v>
      </c>
      <c r="D9" s="6">
        <v>30.285487662641518</v>
      </c>
      <c r="E9" s="6">
        <v>46.28</v>
      </c>
      <c r="F9" s="6">
        <v>93.88</v>
      </c>
      <c r="G9" s="1">
        <v>388</v>
      </c>
      <c r="H9" s="6">
        <v>14.798131811105344</v>
      </c>
      <c r="I9" s="6">
        <v>263.82</v>
      </c>
      <c r="K9" s="5"/>
    </row>
    <row r="10" spans="1:11" x14ac:dyDescent="0.35">
      <c r="A10" s="1" t="s">
        <v>4</v>
      </c>
      <c r="B10" s="3">
        <v>2021</v>
      </c>
      <c r="C10" s="7">
        <v>6.8</v>
      </c>
      <c r="D10" s="6">
        <v>32.028706069573765</v>
      </c>
      <c r="E10" s="6">
        <v>46.11</v>
      </c>
      <c r="F10" s="6">
        <v>92.93</v>
      </c>
      <c r="G10" s="1">
        <v>388</v>
      </c>
      <c r="H10" s="6">
        <v>15.956721123531098</v>
      </c>
      <c r="I10" s="6">
        <v>267.28000000000003</v>
      </c>
      <c r="K10" s="5"/>
    </row>
    <row r="11" spans="1:11" x14ac:dyDescent="0.35">
      <c r="A11" s="1" t="s">
        <v>4</v>
      </c>
      <c r="B11" s="3">
        <v>2022</v>
      </c>
      <c r="C11" s="7">
        <v>7</v>
      </c>
      <c r="D11" s="6">
        <v>34.77962779808324</v>
      </c>
      <c r="E11" s="6">
        <v>45.97</v>
      </c>
      <c r="F11" s="6">
        <v>94.74</v>
      </c>
      <c r="G11" s="1">
        <v>389</v>
      </c>
      <c r="H11" s="6">
        <v>14.276943005181348</v>
      </c>
      <c r="I11" s="6">
        <v>266.79000000000002</v>
      </c>
      <c r="K11" s="5"/>
    </row>
    <row r="12" spans="1:11" x14ac:dyDescent="0.35">
      <c r="A12" s="1" t="s">
        <v>5</v>
      </c>
      <c r="B12" s="3">
        <v>2018</v>
      </c>
      <c r="C12" s="6">
        <v>7.09</v>
      </c>
      <c r="D12" s="6">
        <v>26.181058535891509</v>
      </c>
      <c r="E12" s="6">
        <v>51.54469362356329</v>
      </c>
      <c r="F12" s="6">
        <v>92.690220530000005</v>
      </c>
      <c r="G12" s="1">
        <v>607</v>
      </c>
      <c r="H12" s="6">
        <v>17.097640891218873</v>
      </c>
      <c r="I12" s="6">
        <v>264.7</v>
      </c>
      <c r="K12" s="5"/>
    </row>
    <row r="13" spans="1:11" x14ac:dyDescent="0.35">
      <c r="A13" s="1" t="s">
        <v>5</v>
      </c>
      <c r="B13" s="3">
        <v>2019</v>
      </c>
      <c r="C13" s="6">
        <v>7.1</v>
      </c>
      <c r="D13" s="6">
        <v>27.953259644054548</v>
      </c>
      <c r="E13" s="6">
        <v>56.2</v>
      </c>
      <c r="F13" s="6">
        <v>93.629983039999999</v>
      </c>
      <c r="G13" s="1">
        <v>607</v>
      </c>
      <c r="H13" s="6">
        <v>15.828686058174524</v>
      </c>
      <c r="I13" s="6">
        <v>265.58</v>
      </c>
      <c r="K13" s="5"/>
    </row>
    <row r="14" spans="1:11" x14ac:dyDescent="0.35">
      <c r="A14" s="1" t="s">
        <v>5</v>
      </c>
      <c r="B14" s="3">
        <v>2020</v>
      </c>
      <c r="C14" s="7">
        <v>7.11</v>
      </c>
      <c r="D14" s="6">
        <v>27.009343728779459</v>
      </c>
      <c r="E14" s="6">
        <v>45.25</v>
      </c>
      <c r="F14" s="6">
        <v>92.635999999999996</v>
      </c>
      <c r="G14" s="1">
        <v>598</v>
      </c>
      <c r="H14" s="6">
        <v>16.741804156845941</v>
      </c>
      <c r="I14" s="6">
        <v>264.83</v>
      </c>
      <c r="K14" s="5"/>
    </row>
    <row r="15" spans="1:11" x14ac:dyDescent="0.35">
      <c r="A15" s="1" t="s">
        <v>5</v>
      </c>
      <c r="B15" s="3">
        <v>2021</v>
      </c>
      <c r="C15" s="7">
        <v>7.12</v>
      </c>
      <c r="D15" s="6">
        <v>28.955586694689394</v>
      </c>
      <c r="E15" s="6">
        <v>45.08</v>
      </c>
      <c r="F15" s="6">
        <v>92.93</v>
      </c>
      <c r="G15" s="1">
        <v>599</v>
      </c>
      <c r="H15" s="6">
        <v>16.659125516641289</v>
      </c>
      <c r="I15" s="6">
        <v>266.42</v>
      </c>
      <c r="K15" s="5"/>
    </row>
    <row r="16" spans="1:11" x14ac:dyDescent="0.35">
      <c r="A16" s="1" t="s">
        <v>5</v>
      </c>
      <c r="B16" s="3">
        <v>2022</v>
      </c>
      <c r="C16" s="7">
        <v>7.15</v>
      </c>
      <c r="D16" s="6">
        <v>31.514283910053383</v>
      </c>
      <c r="E16" s="6">
        <v>44.93</v>
      </c>
      <c r="F16" s="6">
        <v>93.04</v>
      </c>
      <c r="G16" s="1">
        <v>600</v>
      </c>
      <c r="H16" s="6">
        <v>14.513276026743075</v>
      </c>
      <c r="I16" s="6">
        <v>267.43</v>
      </c>
      <c r="K16" s="5"/>
    </row>
    <row r="17" spans="1:11" x14ac:dyDescent="0.35">
      <c r="A17" s="1" t="s">
        <v>16</v>
      </c>
      <c r="B17" s="3">
        <v>2018</v>
      </c>
      <c r="C17" s="6">
        <v>6.63</v>
      </c>
      <c r="D17" s="6">
        <v>29.10024179197012</v>
      </c>
      <c r="E17" s="6">
        <v>53.281515809233291</v>
      </c>
      <c r="F17" s="6">
        <v>92.274451819999996</v>
      </c>
      <c r="G17" s="1">
        <v>250</v>
      </c>
      <c r="H17" s="6">
        <v>15.193320964749535</v>
      </c>
      <c r="I17" s="6">
        <v>264.37</v>
      </c>
      <c r="K17" s="5"/>
    </row>
    <row r="18" spans="1:11" x14ac:dyDescent="0.35">
      <c r="A18" s="1" t="s">
        <v>16</v>
      </c>
      <c r="B18" s="3">
        <v>2019</v>
      </c>
      <c r="C18" s="6">
        <v>6.82</v>
      </c>
      <c r="D18" s="6">
        <v>31.405637770839245</v>
      </c>
      <c r="E18" s="6">
        <v>52.12</v>
      </c>
      <c r="F18" s="6">
        <v>91.669871380000004</v>
      </c>
      <c r="G18" s="1">
        <v>251</v>
      </c>
      <c r="H18" s="6">
        <v>14.774582889598864</v>
      </c>
      <c r="I18" s="6">
        <v>263.04999999999995</v>
      </c>
      <c r="K18" s="5"/>
    </row>
    <row r="19" spans="1:11" x14ac:dyDescent="0.35">
      <c r="A19" s="1" t="s">
        <v>16</v>
      </c>
      <c r="B19" s="3">
        <v>2020</v>
      </c>
      <c r="C19" s="7">
        <v>7.03</v>
      </c>
      <c r="D19" s="6">
        <v>28.336935701021357</v>
      </c>
      <c r="E19" s="6">
        <v>45.49</v>
      </c>
      <c r="F19" s="6">
        <v>93.566999999999993</v>
      </c>
      <c r="G19" s="1">
        <v>251</v>
      </c>
      <c r="H19" s="6">
        <v>14.012816188870152</v>
      </c>
      <c r="I19" s="6">
        <v>244.18</v>
      </c>
      <c r="K19" s="5"/>
    </row>
    <row r="20" spans="1:11" x14ac:dyDescent="0.35">
      <c r="A20" s="1" t="s">
        <v>16</v>
      </c>
      <c r="B20" s="3">
        <v>2021</v>
      </c>
      <c r="C20" s="7">
        <v>7.04</v>
      </c>
      <c r="D20" s="6">
        <v>29.719719569605427</v>
      </c>
      <c r="E20" s="6">
        <v>45.43</v>
      </c>
      <c r="F20" s="6">
        <v>92.48</v>
      </c>
      <c r="G20" s="1">
        <v>248</v>
      </c>
      <c r="H20" s="6">
        <v>15.454996186117468</v>
      </c>
      <c r="I20" s="6">
        <v>264.85000000000002</v>
      </c>
      <c r="K20" s="5"/>
    </row>
    <row r="21" spans="1:11" x14ac:dyDescent="0.35">
      <c r="A21" s="1" t="s">
        <v>16</v>
      </c>
      <c r="B21" s="3">
        <v>2022</v>
      </c>
      <c r="C21" s="7">
        <v>7.17</v>
      </c>
      <c r="D21" s="6">
        <v>32.019155139309227</v>
      </c>
      <c r="E21" s="6">
        <v>45.39</v>
      </c>
      <c r="F21" s="6">
        <v>92.74</v>
      </c>
      <c r="G21" s="1">
        <v>249</v>
      </c>
      <c r="H21" s="6">
        <v>13.879834254143647</v>
      </c>
      <c r="I21" s="6">
        <v>263.84000000000003</v>
      </c>
      <c r="K21" s="5"/>
    </row>
    <row r="22" spans="1:11" x14ac:dyDescent="0.35">
      <c r="A22" s="1" t="s">
        <v>6</v>
      </c>
      <c r="B22" s="3">
        <v>2018</v>
      </c>
      <c r="C22" s="6">
        <v>6.94</v>
      </c>
      <c r="D22" s="6">
        <v>39.05034235282708</v>
      </c>
      <c r="E22" s="6">
        <v>46.781836817330571</v>
      </c>
      <c r="F22" s="6">
        <v>91.654508579999998</v>
      </c>
      <c r="G22" s="1">
        <v>628</v>
      </c>
      <c r="H22" s="6">
        <v>16.955546408726075</v>
      </c>
      <c r="I22" s="6">
        <v>244.36</v>
      </c>
      <c r="K22" s="5"/>
    </row>
    <row r="23" spans="1:11" x14ac:dyDescent="0.35">
      <c r="A23" s="1" t="s">
        <v>6</v>
      </c>
      <c r="B23" s="3">
        <v>2019</v>
      </c>
      <c r="C23" s="6">
        <v>6.95</v>
      </c>
      <c r="D23" s="6">
        <v>40.743506009901665</v>
      </c>
      <c r="E23" s="6">
        <v>46.49</v>
      </c>
      <c r="F23" s="6">
        <v>91.634140450000004</v>
      </c>
      <c r="G23" s="1">
        <v>628</v>
      </c>
      <c r="H23" s="6">
        <v>15.397803425167535</v>
      </c>
      <c r="I23" s="6">
        <v>244.22000000000003</v>
      </c>
      <c r="K23" s="5"/>
    </row>
    <row r="24" spans="1:11" x14ac:dyDescent="0.35">
      <c r="A24" s="1" t="s">
        <v>6</v>
      </c>
      <c r="B24" s="3">
        <v>2020</v>
      </c>
      <c r="C24" s="7">
        <v>7.15</v>
      </c>
      <c r="D24" s="6">
        <v>41.088877022333328</v>
      </c>
      <c r="E24" s="6">
        <v>41.73</v>
      </c>
      <c r="F24" s="6">
        <v>94.986999999999995</v>
      </c>
      <c r="G24" s="1">
        <v>626</v>
      </c>
      <c r="H24" s="6">
        <v>14.917460888329437</v>
      </c>
      <c r="I24" s="6">
        <v>257.41999999999996</v>
      </c>
      <c r="K24" s="5"/>
    </row>
    <row r="25" spans="1:11" x14ac:dyDescent="0.35">
      <c r="A25" s="1" t="s">
        <v>6</v>
      </c>
      <c r="B25" s="3">
        <v>2021</v>
      </c>
      <c r="C25" s="7">
        <v>7.39</v>
      </c>
      <c r="D25" s="6">
        <v>44.375795749262579</v>
      </c>
      <c r="E25" s="6">
        <v>41.54</v>
      </c>
      <c r="F25" s="6">
        <v>93.34</v>
      </c>
      <c r="G25" s="1">
        <v>627</v>
      </c>
      <c r="H25" s="6">
        <v>17.001671541997492</v>
      </c>
      <c r="I25" s="6">
        <v>244.12</v>
      </c>
      <c r="K25" s="5"/>
    </row>
    <row r="26" spans="1:11" x14ac:dyDescent="0.35">
      <c r="A26" s="1" t="s">
        <v>6</v>
      </c>
      <c r="B26" s="3">
        <v>2022</v>
      </c>
      <c r="C26" s="7">
        <v>7.41</v>
      </c>
      <c r="D26" s="6">
        <v>48.372395611261105</v>
      </c>
      <c r="E26" s="6">
        <v>41.39</v>
      </c>
      <c r="F26" s="6">
        <v>93.34</v>
      </c>
      <c r="G26" s="1">
        <v>628</v>
      </c>
      <c r="H26" s="6">
        <v>14.531796072779679</v>
      </c>
      <c r="I26" s="6">
        <v>245.98999999999998</v>
      </c>
      <c r="K26" s="5"/>
    </row>
    <row r="27" spans="1:11" x14ac:dyDescent="0.35">
      <c r="A27" s="1" t="s">
        <v>7</v>
      </c>
      <c r="B27" s="3">
        <v>2018</v>
      </c>
      <c r="C27" s="6">
        <v>7.04</v>
      </c>
      <c r="D27" s="6">
        <v>49.602960389517627</v>
      </c>
      <c r="E27" s="6">
        <v>49.05481817966735</v>
      </c>
      <c r="F27" s="6">
        <v>93.244687470000002</v>
      </c>
      <c r="G27" s="1">
        <v>708</v>
      </c>
      <c r="H27" s="6">
        <v>15.416625837008002</v>
      </c>
      <c r="I27" s="6">
        <v>255.26999999999998</v>
      </c>
      <c r="K27" s="5"/>
    </row>
    <row r="28" spans="1:11" x14ac:dyDescent="0.35">
      <c r="A28" s="1" t="s">
        <v>7</v>
      </c>
      <c r="B28" s="3">
        <v>2019</v>
      </c>
      <c r="C28" s="6">
        <v>7.26</v>
      </c>
      <c r="D28" s="6">
        <v>53.606912651160428</v>
      </c>
      <c r="E28" s="6">
        <v>45.78</v>
      </c>
      <c r="F28" s="6">
        <v>95.159381589999995</v>
      </c>
      <c r="G28" s="1">
        <v>709</v>
      </c>
      <c r="H28" s="6">
        <v>14.112103029416069</v>
      </c>
      <c r="I28" s="6">
        <v>255.09</v>
      </c>
      <c r="K28" s="5"/>
    </row>
    <row r="29" spans="1:11" x14ac:dyDescent="0.35">
      <c r="A29" s="1" t="s">
        <v>7</v>
      </c>
      <c r="B29" s="3">
        <v>2020</v>
      </c>
      <c r="C29" s="7">
        <v>7.31</v>
      </c>
      <c r="D29" s="6">
        <v>49.251833150211077</v>
      </c>
      <c r="E29" s="6">
        <v>40.85</v>
      </c>
      <c r="F29" s="6">
        <v>95.406999999999996</v>
      </c>
      <c r="G29" s="1">
        <v>715</v>
      </c>
      <c r="H29" s="6">
        <v>13.163555924236141</v>
      </c>
      <c r="I29" s="6">
        <v>245.99</v>
      </c>
      <c r="K29" s="5"/>
    </row>
    <row r="30" spans="1:11" x14ac:dyDescent="0.35">
      <c r="A30" s="1" t="s">
        <v>7</v>
      </c>
      <c r="B30" s="3">
        <v>2021</v>
      </c>
      <c r="C30" s="7">
        <v>7.46</v>
      </c>
      <c r="D30" s="6">
        <v>53.302080986055145</v>
      </c>
      <c r="E30" s="6">
        <v>40.67</v>
      </c>
      <c r="F30" s="6">
        <v>94.08</v>
      </c>
      <c r="G30" s="1">
        <v>724</v>
      </c>
      <c r="H30" s="6">
        <v>14.096168523889483</v>
      </c>
      <c r="I30" s="6">
        <v>257.01</v>
      </c>
      <c r="K30" s="5"/>
    </row>
    <row r="31" spans="1:11" x14ac:dyDescent="0.35">
      <c r="A31" s="1" t="s">
        <v>7</v>
      </c>
      <c r="B31" s="3">
        <v>2022</v>
      </c>
      <c r="C31" s="7">
        <v>7.48</v>
      </c>
      <c r="D31" s="6">
        <v>57.972970872605451</v>
      </c>
      <c r="E31" s="6">
        <v>40.520000000000003</v>
      </c>
      <c r="F31" s="6">
        <v>95.52</v>
      </c>
      <c r="G31" s="1">
        <v>731</v>
      </c>
      <c r="H31" s="6">
        <v>12.691098044578149</v>
      </c>
      <c r="I31" s="6">
        <v>256.27999999999997</v>
      </c>
      <c r="K31" s="5"/>
    </row>
    <row r="32" spans="1:11" x14ac:dyDescent="0.35">
      <c r="A32" s="1" t="s">
        <v>8</v>
      </c>
      <c r="B32" s="3">
        <v>2018</v>
      </c>
      <c r="C32" s="6">
        <v>6.73</v>
      </c>
      <c r="D32" s="6">
        <v>32.393864779410166</v>
      </c>
      <c r="E32" s="6">
        <v>50.763355994514633</v>
      </c>
      <c r="F32" s="6">
        <v>91.582428879999995</v>
      </c>
      <c r="G32" s="1">
        <v>599</v>
      </c>
      <c r="H32" s="6">
        <v>17.702540797355919</v>
      </c>
      <c r="I32" s="6">
        <v>247.94</v>
      </c>
      <c r="K32" s="5"/>
    </row>
    <row r="33" spans="1:11" x14ac:dyDescent="0.35">
      <c r="A33" s="1" t="s">
        <v>8</v>
      </c>
      <c r="B33" s="3">
        <v>2019</v>
      </c>
      <c r="C33" s="6">
        <v>6.89</v>
      </c>
      <c r="D33" s="6">
        <v>35.057176928495529</v>
      </c>
      <c r="E33" s="6">
        <v>50.43</v>
      </c>
      <c r="F33" s="6">
        <v>93.437004540000004</v>
      </c>
      <c r="G33" s="1">
        <v>600</v>
      </c>
      <c r="H33" s="6">
        <v>16.201858736059478</v>
      </c>
      <c r="I33" s="6">
        <v>244.91</v>
      </c>
      <c r="K33" s="5"/>
    </row>
    <row r="34" spans="1:11" x14ac:dyDescent="0.35">
      <c r="A34" s="1" t="s">
        <v>8</v>
      </c>
      <c r="B34" s="3">
        <v>2020</v>
      </c>
      <c r="C34" s="7">
        <v>7.07</v>
      </c>
      <c r="D34" s="6">
        <v>34.917788519508385</v>
      </c>
      <c r="E34" s="6">
        <v>46.37</v>
      </c>
      <c r="F34" s="6">
        <v>92.819000000000003</v>
      </c>
      <c r="G34" s="1">
        <v>604</v>
      </c>
      <c r="H34" s="6">
        <v>15.118771929824561</v>
      </c>
      <c r="I34" s="6">
        <v>258.73</v>
      </c>
      <c r="K34" s="5"/>
    </row>
    <row r="35" spans="1:11" x14ac:dyDescent="0.35">
      <c r="A35" s="1" t="s">
        <v>8</v>
      </c>
      <c r="B35" s="3">
        <v>2021</v>
      </c>
      <c r="C35" s="7">
        <v>7.08</v>
      </c>
      <c r="D35" s="6">
        <v>37.172634761632764</v>
      </c>
      <c r="E35" s="6">
        <v>46.19</v>
      </c>
      <c r="F35" s="6">
        <v>89.98</v>
      </c>
      <c r="G35" s="1">
        <v>614</v>
      </c>
      <c r="H35" s="6">
        <v>16.464355278535255</v>
      </c>
      <c r="I35" s="6">
        <v>248.85000000000002</v>
      </c>
      <c r="K35" s="5"/>
    </row>
    <row r="36" spans="1:11" x14ac:dyDescent="0.35">
      <c r="A36" s="1" t="s">
        <v>8</v>
      </c>
      <c r="B36" s="3">
        <v>2022</v>
      </c>
      <c r="C36" s="7">
        <v>7.36</v>
      </c>
      <c r="D36" s="6">
        <v>40.641366670106194</v>
      </c>
      <c r="E36" s="6">
        <v>46.03</v>
      </c>
      <c r="F36" s="6">
        <v>92.18</v>
      </c>
      <c r="G36" s="1">
        <v>621</v>
      </c>
      <c r="H36" s="6">
        <v>14.319134318103744</v>
      </c>
      <c r="I36" s="6">
        <v>249.41000000000003</v>
      </c>
      <c r="K36" s="5"/>
    </row>
    <row r="37" spans="1:11" x14ac:dyDescent="0.35">
      <c r="A37" s="1" t="s">
        <v>9</v>
      </c>
      <c r="B37" s="3">
        <v>2018</v>
      </c>
      <c r="C37" s="6">
        <v>7.25</v>
      </c>
      <c r="D37" s="6">
        <v>36.400678536125781</v>
      </c>
      <c r="E37" s="6">
        <v>48.363036417069104</v>
      </c>
      <c r="F37" s="6">
        <v>93.528701530000006</v>
      </c>
      <c r="G37" s="1">
        <v>539</v>
      </c>
      <c r="H37" s="6">
        <v>13.397568067671161</v>
      </c>
      <c r="I37" s="6">
        <v>259.32</v>
      </c>
      <c r="K37" s="5"/>
    </row>
    <row r="38" spans="1:11" x14ac:dyDescent="0.35">
      <c r="A38" s="1" t="s">
        <v>9</v>
      </c>
      <c r="B38" s="3">
        <v>2019</v>
      </c>
      <c r="C38" s="6">
        <v>7.47</v>
      </c>
      <c r="D38" s="6">
        <v>38.774409647159835</v>
      </c>
      <c r="E38" s="6">
        <v>47.53</v>
      </c>
      <c r="F38" s="6">
        <v>94.628406760000004</v>
      </c>
      <c r="G38" s="1">
        <v>538</v>
      </c>
      <c r="H38" s="6">
        <v>11.964566929133857</v>
      </c>
      <c r="I38" s="6">
        <v>256.09000000000003</v>
      </c>
      <c r="K38" s="5"/>
    </row>
    <row r="39" spans="1:11" x14ac:dyDescent="0.35">
      <c r="A39" s="1" t="s">
        <v>9</v>
      </c>
      <c r="B39" s="3">
        <v>2020</v>
      </c>
      <c r="C39" s="7">
        <v>7.52</v>
      </c>
      <c r="D39" s="6">
        <v>40.671061205261886</v>
      </c>
      <c r="E39" s="6">
        <v>44.6</v>
      </c>
      <c r="F39" s="6">
        <v>93.7</v>
      </c>
      <c r="G39" s="1">
        <v>538</v>
      </c>
      <c r="H39" s="6">
        <v>11.505658669081033</v>
      </c>
      <c r="I39" s="6">
        <v>256.5</v>
      </c>
      <c r="K39" s="5"/>
    </row>
    <row r="40" spans="1:11" x14ac:dyDescent="0.35">
      <c r="A40" s="1" t="s">
        <v>9</v>
      </c>
      <c r="B40" s="3">
        <v>2021</v>
      </c>
      <c r="C40" s="7">
        <v>7.53</v>
      </c>
      <c r="D40" s="6">
        <v>43.634962126586267</v>
      </c>
      <c r="E40" s="6">
        <v>44.36</v>
      </c>
      <c r="F40" s="6">
        <v>93.13</v>
      </c>
      <c r="G40" s="1">
        <v>538</v>
      </c>
      <c r="H40" s="6">
        <v>12.432167128114775</v>
      </c>
      <c r="I40" s="6">
        <v>258.51</v>
      </c>
      <c r="K40" s="5"/>
    </row>
    <row r="41" spans="1:11" x14ac:dyDescent="0.35">
      <c r="A41" s="1" t="s">
        <v>9</v>
      </c>
      <c r="B41" s="3">
        <v>2022</v>
      </c>
      <c r="C41" s="7">
        <v>7.59</v>
      </c>
      <c r="D41" s="6">
        <v>47.793489519402335</v>
      </c>
      <c r="E41" s="6">
        <v>44.16</v>
      </c>
      <c r="F41" s="6">
        <v>93.31</v>
      </c>
      <c r="G41" s="1">
        <v>539</v>
      </c>
      <c r="H41" s="6">
        <v>10.204210526315789</v>
      </c>
      <c r="I41" s="6">
        <v>255.93</v>
      </c>
      <c r="K41" s="5"/>
    </row>
    <row r="42" spans="1:11" x14ac:dyDescent="0.35">
      <c r="A42" s="1" t="s">
        <v>10</v>
      </c>
      <c r="B42" s="3">
        <v>2018</v>
      </c>
      <c r="C42" s="6">
        <v>6.58</v>
      </c>
      <c r="D42" s="6">
        <v>29.346812642802742</v>
      </c>
      <c r="E42" s="6">
        <v>49.457067113993439</v>
      </c>
      <c r="F42" s="6">
        <v>92.196001999999993</v>
      </c>
      <c r="G42" s="1">
        <v>321</v>
      </c>
      <c r="H42" s="6">
        <v>17.175316179677278</v>
      </c>
      <c r="I42" s="6">
        <v>256.97999999999996</v>
      </c>
      <c r="K42" s="5"/>
    </row>
    <row r="43" spans="1:11" x14ac:dyDescent="0.35">
      <c r="A43" s="1" t="s">
        <v>10</v>
      </c>
      <c r="B43" s="3">
        <v>2019</v>
      </c>
      <c r="C43" s="6">
        <v>6.6</v>
      </c>
      <c r="D43" s="6">
        <v>31.909677196916331</v>
      </c>
      <c r="E43" s="6">
        <v>48.88</v>
      </c>
      <c r="F43" s="6">
        <v>91.920853370000003</v>
      </c>
      <c r="G43" s="1">
        <v>321</v>
      </c>
      <c r="H43" s="6">
        <v>15.552877138413686</v>
      </c>
      <c r="I43" s="6">
        <v>256.77</v>
      </c>
      <c r="K43" s="5"/>
    </row>
    <row r="44" spans="1:11" x14ac:dyDescent="0.35">
      <c r="A44" s="1" t="s">
        <v>10</v>
      </c>
      <c r="B44" s="3">
        <v>2020</v>
      </c>
      <c r="C44" s="7">
        <v>6.83</v>
      </c>
      <c r="D44" s="6">
        <v>31.049424037738881</v>
      </c>
      <c r="E44" s="6">
        <v>44.25</v>
      </c>
      <c r="F44" s="6">
        <v>93.048000000000002</v>
      </c>
      <c r="G44" s="1">
        <v>320</v>
      </c>
      <c r="H44" s="6">
        <v>15.323641928079571</v>
      </c>
      <c r="I44" s="6">
        <v>241.07</v>
      </c>
      <c r="K44" s="5"/>
    </row>
    <row r="45" spans="1:11" x14ac:dyDescent="0.35">
      <c r="A45" s="1" t="s">
        <v>10</v>
      </c>
      <c r="B45" s="3">
        <v>2021</v>
      </c>
      <c r="C45" s="7">
        <v>6.85</v>
      </c>
      <c r="D45" s="6">
        <v>33.505998459211384</v>
      </c>
      <c r="E45" s="6">
        <v>44.09</v>
      </c>
      <c r="F45" s="6">
        <v>93.36</v>
      </c>
      <c r="G45" s="1">
        <v>321</v>
      </c>
      <c r="H45" s="6">
        <v>17.671721677074039</v>
      </c>
      <c r="I45" s="6">
        <v>257.52</v>
      </c>
      <c r="K45" s="5"/>
    </row>
    <row r="46" spans="1:11" x14ac:dyDescent="0.35">
      <c r="A46" s="1" t="s">
        <v>10</v>
      </c>
      <c r="B46" s="3">
        <v>2022</v>
      </c>
      <c r="C46" s="7">
        <v>7.12</v>
      </c>
      <c r="D46" s="6">
        <v>36.768001343101915</v>
      </c>
      <c r="E46" s="6">
        <v>43.96</v>
      </c>
      <c r="F46" s="6">
        <v>93.92</v>
      </c>
      <c r="G46" s="1">
        <v>321</v>
      </c>
      <c r="H46" s="6">
        <v>15.493537015276146</v>
      </c>
      <c r="I46" s="6">
        <v>254.2</v>
      </c>
      <c r="K46" s="5"/>
    </row>
    <row r="47" spans="1:11" x14ac:dyDescent="0.35">
      <c r="A47" s="1" t="s">
        <v>11</v>
      </c>
      <c r="B47" s="3">
        <v>2018</v>
      </c>
      <c r="C47" s="6">
        <v>6.66</v>
      </c>
      <c r="D47" s="6">
        <v>23.091158364913444</v>
      </c>
      <c r="E47" s="6">
        <v>47.550974938370096</v>
      </c>
      <c r="F47" s="6">
        <v>91.883740059999994</v>
      </c>
      <c r="G47" s="1">
        <v>386</v>
      </c>
      <c r="H47" s="6">
        <v>12.809064609450337</v>
      </c>
      <c r="I47" s="6">
        <v>240.56</v>
      </c>
      <c r="K47" s="5"/>
    </row>
    <row r="48" spans="1:11" x14ac:dyDescent="0.35">
      <c r="A48" s="1" t="s">
        <v>11</v>
      </c>
      <c r="B48" s="3">
        <v>2019</v>
      </c>
      <c r="C48" s="6">
        <v>6.67</v>
      </c>
      <c r="D48" s="6">
        <v>24.680081663204056</v>
      </c>
      <c r="E48" s="6">
        <v>47.33</v>
      </c>
      <c r="F48" s="6">
        <v>91.134128860000004</v>
      </c>
      <c r="G48" s="1">
        <v>388</v>
      </c>
      <c r="H48" s="6">
        <v>11.573402417962004</v>
      </c>
      <c r="I48" s="6">
        <v>238.17999999999998</v>
      </c>
      <c r="K48" s="5"/>
    </row>
    <row r="49" spans="1:11" x14ac:dyDescent="0.35">
      <c r="A49" s="1" t="s">
        <v>11</v>
      </c>
      <c r="B49" s="3">
        <v>2020</v>
      </c>
      <c r="C49" s="7">
        <v>6.76</v>
      </c>
      <c r="D49" s="6">
        <v>22.921139834406624</v>
      </c>
      <c r="E49" s="6">
        <v>40.08</v>
      </c>
      <c r="F49" s="6">
        <v>91.138999999999996</v>
      </c>
      <c r="G49" s="1">
        <v>389</v>
      </c>
      <c r="H49" s="6">
        <v>11.042749371332775</v>
      </c>
      <c r="I49" s="6">
        <v>264.5</v>
      </c>
      <c r="K49" s="5"/>
    </row>
    <row r="50" spans="1:11" x14ac:dyDescent="0.35">
      <c r="A50" s="1" t="s">
        <v>11</v>
      </c>
      <c r="B50" s="3">
        <v>2021</v>
      </c>
      <c r="C50" s="7">
        <v>6.91</v>
      </c>
      <c r="D50" s="6">
        <v>24.332104116034284</v>
      </c>
      <c r="E50" s="6">
        <v>39.700000000000003</v>
      </c>
      <c r="F50" s="6">
        <v>93.08</v>
      </c>
      <c r="G50" s="1">
        <v>390</v>
      </c>
      <c r="H50" s="6">
        <v>11.390713834491471</v>
      </c>
      <c r="I50" s="6">
        <v>241.76</v>
      </c>
      <c r="K50" s="5"/>
    </row>
    <row r="51" spans="1:11" x14ac:dyDescent="0.35">
      <c r="A51" s="1" t="s">
        <v>11</v>
      </c>
      <c r="B51" s="3">
        <v>2022</v>
      </c>
      <c r="C51" s="7">
        <v>7.18</v>
      </c>
      <c r="D51" s="6">
        <v>26.280356770556324</v>
      </c>
      <c r="E51" s="6">
        <v>39.56</v>
      </c>
      <c r="F51" s="6">
        <v>90.68</v>
      </c>
      <c r="G51" s="1">
        <v>392</v>
      </c>
      <c r="H51" s="6">
        <v>10.422162162162163</v>
      </c>
      <c r="I51" s="6">
        <v>242.34</v>
      </c>
      <c r="K51" s="5"/>
    </row>
    <row r="52" spans="1:11" x14ac:dyDescent="0.35">
      <c r="A52" s="1" t="s">
        <v>13</v>
      </c>
      <c r="B52" s="3">
        <v>2018</v>
      </c>
      <c r="C52" s="6">
        <v>5.86</v>
      </c>
      <c r="D52" s="6">
        <v>34.232620222003803</v>
      </c>
      <c r="E52" s="6">
        <v>53.669959953995594</v>
      </c>
      <c r="F52" s="6">
        <v>84.713821289999998</v>
      </c>
      <c r="G52" s="1">
        <v>155</v>
      </c>
      <c r="H52" s="6">
        <v>14.132610006027727</v>
      </c>
      <c r="I52" s="6">
        <v>265.39</v>
      </c>
      <c r="K52" s="5"/>
    </row>
    <row r="53" spans="1:11" x14ac:dyDescent="0.35">
      <c r="A53" s="1" t="s">
        <v>13</v>
      </c>
      <c r="B53" s="3">
        <v>2019</v>
      </c>
      <c r="C53" s="6">
        <v>6</v>
      </c>
      <c r="D53" s="6">
        <v>36.668786053320325</v>
      </c>
      <c r="E53" s="6">
        <v>54.22</v>
      </c>
      <c r="F53" s="6">
        <v>88.144309960000001</v>
      </c>
      <c r="G53" s="1">
        <v>156</v>
      </c>
      <c r="H53" s="6">
        <v>13.090960134755756</v>
      </c>
      <c r="I53" s="6">
        <v>264.02999999999997</v>
      </c>
      <c r="K53" s="5"/>
    </row>
    <row r="54" spans="1:11" x14ac:dyDescent="0.35">
      <c r="A54" s="1" t="s">
        <v>13</v>
      </c>
      <c r="B54" s="3">
        <v>2020</v>
      </c>
      <c r="C54" s="7">
        <v>6.01</v>
      </c>
      <c r="D54" s="6">
        <v>33.236327989823891</v>
      </c>
      <c r="E54" s="6">
        <v>45.42</v>
      </c>
      <c r="F54" s="6">
        <v>85.385999999999996</v>
      </c>
      <c r="G54" s="1">
        <v>156</v>
      </c>
      <c r="H54" s="6">
        <v>12.762116991643454</v>
      </c>
      <c r="I54" s="6">
        <v>265.12</v>
      </c>
      <c r="K54" s="5"/>
    </row>
    <row r="55" spans="1:11" x14ac:dyDescent="0.35">
      <c r="A55" s="1" t="s">
        <v>13</v>
      </c>
      <c r="B55" s="3">
        <v>2021</v>
      </c>
      <c r="C55" s="7">
        <v>6.02</v>
      </c>
      <c r="D55" s="6">
        <v>35.268232127576823</v>
      </c>
      <c r="E55" s="6">
        <v>45.24</v>
      </c>
      <c r="F55" s="6">
        <v>87.52</v>
      </c>
      <c r="G55" s="1">
        <v>157</v>
      </c>
      <c r="H55" s="6">
        <v>13.288542291541692</v>
      </c>
      <c r="I55" s="6">
        <v>264.44</v>
      </c>
      <c r="K55" s="5"/>
    </row>
    <row r="56" spans="1:11" x14ac:dyDescent="0.35">
      <c r="A56" s="1" t="s">
        <v>13</v>
      </c>
      <c r="B56" s="3">
        <v>2022</v>
      </c>
      <c r="C56" s="7">
        <v>6.21</v>
      </c>
      <c r="D56" s="6">
        <v>37.990767177202834</v>
      </c>
      <c r="E56" s="6">
        <v>45.1</v>
      </c>
      <c r="F56" s="6">
        <v>88.71</v>
      </c>
      <c r="G56" s="1">
        <v>159</v>
      </c>
      <c r="H56" s="6">
        <v>11.733153638814017</v>
      </c>
      <c r="I56" s="6">
        <v>262.86</v>
      </c>
      <c r="K56" s="5"/>
    </row>
    <row r="57" spans="1:11" x14ac:dyDescent="0.35">
      <c r="A57" s="1" t="s">
        <v>12</v>
      </c>
      <c r="B57" s="3">
        <v>2018</v>
      </c>
      <c r="C57" s="6">
        <v>6.81</v>
      </c>
      <c r="D57" s="6">
        <v>46.142802173357111</v>
      </c>
      <c r="E57" s="6">
        <v>51.089010389926592</v>
      </c>
      <c r="F57" s="6">
        <v>92.17232285</v>
      </c>
      <c r="G57" s="1">
        <v>583</v>
      </c>
      <c r="H57" s="6">
        <v>16.84157113324563</v>
      </c>
      <c r="I57" s="6">
        <v>263.64999999999998</v>
      </c>
      <c r="K57" s="5"/>
    </row>
    <row r="58" spans="1:11" x14ac:dyDescent="0.35">
      <c r="A58" s="1" t="s">
        <v>12</v>
      </c>
      <c r="B58" s="3">
        <v>2019</v>
      </c>
      <c r="C58" s="6">
        <v>6.82</v>
      </c>
      <c r="D58" s="6">
        <v>50.239146325675648</v>
      </c>
      <c r="E58" s="6">
        <v>50.94</v>
      </c>
      <c r="F58" s="6">
        <v>91.592575679999996</v>
      </c>
      <c r="G58" s="1">
        <v>587</v>
      </c>
      <c r="H58" s="6">
        <v>15.63903017972194</v>
      </c>
      <c r="I58" s="6">
        <v>265.09000000000003</v>
      </c>
      <c r="K58" s="5"/>
    </row>
    <row r="59" spans="1:11" x14ac:dyDescent="0.35">
      <c r="A59" s="1" t="s">
        <v>12</v>
      </c>
      <c r="B59" s="3">
        <v>2020</v>
      </c>
      <c r="C59" s="7">
        <v>6.83</v>
      </c>
      <c r="D59" s="6">
        <v>47.47439976238612</v>
      </c>
      <c r="E59" s="6">
        <v>45.74</v>
      </c>
      <c r="F59" s="6">
        <v>90.236999999999995</v>
      </c>
      <c r="G59" s="1">
        <v>589</v>
      </c>
      <c r="H59" s="6">
        <v>15.238606340819022</v>
      </c>
      <c r="I59" s="6">
        <v>273.7</v>
      </c>
      <c r="K59" s="5"/>
    </row>
    <row r="60" spans="1:11" x14ac:dyDescent="0.35">
      <c r="A60" s="1" t="s">
        <v>12</v>
      </c>
      <c r="B60" s="3">
        <v>2021</v>
      </c>
      <c r="C60" s="7">
        <v>7</v>
      </c>
      <c r="D60" s="6">
        <v>50.77247235927657</v>
      </c>
      <c r="E60" s="6">
        <v>45.56</v>
      </c>
      <c r="F60" s="6">
        <v>92.06</v>
      </c>
      <c r="G60" s="1">
        <v>597</v>
      </c>
      <c r="H60" s="6">
        <v>16.52892863661252</v>
      </c>
      <c r="I60" s="6">
        <v>267.55</v>
      </c>
      <c r="K60" s="5"/>
    </row>
    <row r="61" spans="1:11" x14ac:dyDescent="0.35">
      <c r="A61" s="1" t="s">
        <v>12</v>
      </c>
      <c r="B61" s="3">
        <v>2022</v>
      </c>
      <c r="C61" s="7">
        <v>7.02</v>
      </c>
      <c r="D61" s="6">
        <v>56.693186846389608</v>
      </c>
      <c r="E61" s="6">
        <v>45.41</v>
      </c>
      <c r="F61" s="6">
        <v>92.96</v>
      </c>
      <c r="G61" s="1">
        <v>601</v>
      </c>
      <c r="H61" s="6">
        <v>14.672637134175595</v>
      </c>
      <c r="I61" s="6">
        <v>264.39</v>
      </c>
      <c r="K61" s="5"/>
    </row>
    <row r="62" spans="1:11" x14ac:dyDescent="0.35">
      <c r="A62" s="1" t="s">
        <v>14</v>
      </c>
      <c r="B62" s="3">
        <v>2018</v>
      </c>
      <c r="C62" s="6">
        <v>9.9</v>
      </c>
      <c r="D62" s="6">
        <v>56.568916206566179</v>
      </c>
      <c r="E62" s="6">
        <v>43.485558588010825</v>
      </c>
      <c r="F62" s="6">
        <v>96.68447707</v>
      </c>
      <c r="G62" s="1">
        <v>294</v>
      </c>
      <c r="H62" s="6">
        <v>20.568519537699505</v>
      </c>
      <c r="I62" s="6">
        <v>273.86</v>
      </c>
      <c r="K62" s="5"/>
    </row>
    <row r="63" spans="1:11" x14ac:dyDescent="0.35">
      <c r="A63" s="1" t="s">
        <v>14</v>
      </c>
      <c r="B63" s="3">
        <v>2019</v>
      </c>
      <c r="C63" s="6">
        <v>10.14</v>
      </c>
      <c r="D63" s="6">
        <v>59.858590436101764</v>
      </c>
      <c r="E63" s="6">
        <v>43.41</v>
      </c>
      <c r="F63" s="6">
        <v>96.665137549999997</v>
      </c>
      <c r="G63" s="1">
        <v>296</v>
      </c>
      <c r="H63" s="6">
        <v>19.875</v>
      </c>
      <c r="I63" s="6">
        <v>274.8</v>
      </c>
      <c r="K63" s="5"/>
    </row>
    <row r="64" spans="1:11" x14ac:dyDescent="0.35">
      <c r="A64" s="1" t="s">
        <v>14</v>
      </c>
      <c r="B64" s="3">
        <v>2020</v>
      </c>
      <c r="C64" s="7">
        <v>10.17</v>
      </c>
      <c r="D64" s="6">
        <v>57.157077647130265</v>
      </c>
      <c r="E64" s="6">
        <v>45.01</v>
      </c>
      <c r="F64" s="6">
        <v>97.504000000000005</v>
      </c>
      <c r="G64" s="1">
        <v>298</v>
      </c>
      <c r="H64" s="6">
        <v>18.699100299900035</v>
      </c>
      <c r="I64" s="6">
        <v>264.33</v>
      </c>
      <c r="K64" s="5"/>
    </row>
    <row r="65" spans="1:12" x14ac:dyDescent="0.35">
      <c r="A65" s="1" t="s">
        <v>14</v>
      </c>
      <c r="B65" s="3">
        <v>2021</v>
      </c>
      <c r="C65" s="7">
        <v>10.43</v>
      </c>
      <c r="D65" s="6">
        <v>60.568889022815583</v>
      </c>
      <c r="E65" s="6">
        <v>44.89</v>
      </c>
      <c r="F65" s="6">
        <v>97.99</v>
      </c>
      <c r="G65" s="1">
        <v>303</v>
      </c>
      <c r="H65" s="6">
        <v>19.842230347349176</v>
      </c>
      <c r="I65" s="6">
        <v>274.94</v>
      </c>
      <c r="K65" s="5"/>
    </row>
    <row r="66" spans="1:12" x14ac:dyDescent="0.35">
      <c r="A66" s="1" t="s">
        <v>14</v>
      </c>
      <c r="B66" s="3">
        <v>2022</v>
      </c>
      <c r="C66" s="7">
        <v>10.44</v>
      </c>
      <c r="D66" s="6">
        <v>66.169963197694813</v>
      </c>
      <c r="E66" s="6">
        <v>44.79</v>
      </c>
      <c r="F66" s="6">
        <v>97.95</v>
      </c>
      <c r="G66" s="1">
        <v>304</v>
      </c>
      <c r="H66" s="6">
        <v>18.757997218358831</v>
      </c>
      <c r="I66" s="6">
        <v>272.77</v>
      </c>
      <c r="K66" s="5"/>
    </row>
    <row r="67" spans="1:12" x14ac:dyDescent="0.35">
      <c r="A67" s="1" t="s">
        <v>15</v>
      </c>
      <c r="B67" s="3">
        <v>2018</v>
      </c>
      <c r="C67" s="6">
        <v>7.57</v>
      </c>
      <c r="D67" s="6">
        <v>44.240574360566242</v>
      </c>
      <c r="E67" s="6">
        <v>53.714073200853264</v>
      </c>
      <c r="F67" s="6">
        <v>91.773830340000004</v>
      </c>
      <c r="G67" s="1">
        <v>146</v>
      </c>
      <c r="H67" s="6">
        <v>20.329006490264604</v>
      </c>
      <c r="I67" s="6">
        <v>261.77</v>
      </c>
      <c r="K67" s="5"/>
    </row>
    <row r="68" spans="1:12" x14ac:dyDescent="0.35">
      <c r="A68" s="1" t="s">
        <v>15</v>
      </c>
      <c r="B68" s="3">
        <v>2019</v>
      </c>
      <c r="C68" s="6">
        <v>7.72</v>
      </c>
      <c r="D68" s="6">
        <v>45.8857408819703</v>
      </c>
      <c r="E68" s="6">
        <v>53.61</v>
      </c>
      <c r="F68" s="6">
        <v>91.047519199999996</v>
      </c>
      <c r="G68" s="1">
        <v>145</v>
      </c>
      <c r="H68" s="6">
        <v>19.849976110845677</v>
      </c>
      <c r="I68" s="6">
        <v>262.77999999999997</v>
      </c>
      <c r="K68" s="5"/>
    </row>
    <row r="69" spans="1:12" x14ac:dyDescent="0.35">
      <c r="A69" s="1" t="s">
        <v>15</v>
      </c>
      <c r="B69" s="3">
        <v>2020</v>
      </c>
      <c r="C69" s="7">
        <v>7.89</v>
      </c>
      <c r="D69" s="6">
        <v>43.078587023108604</v>
      </c>
      <c r="E69" s="6">
        <v>49.53</v>
      </c>
      <c r="F69" s="6">
        <v>93.18</v>
      </c>
      <c r="G69" s="1">
        <v>147</v>
      </c>
      <c r="H69" s="6">
        <v>17.829832833261893</v>
      </c>
      <c r="I69" s="6">
        <v>259.85000000000002</v>
      </c>
      <c r="K69" s="5"/>
    </row>
    <row r="70" spans="1:12" x14ac:dyDescent="0.35">
      <c r="A70" s="1" t="s">
        <v>15</v>
      </c>
      <c r="B70" s="3">
        <v>2021</v>
      </c>
      <c r="C70" s="7">
        <v>7.9</v>
      </c>
      <c r="D70" s="6">
        <v>45.72618005725311</v>
      </c>
      <c r="E70" s="6">
        <v>49.39</v>
      </c>
      <c r="F70" s="6">
        <v>91.99</v>
      </c>
      <c r="G70" s="1">
        <v>154</v>
      </c>
      <c r="H70" s="6">
        <v>18.319320214669052</v>
      </c>
      <c r="I70" s="6">
        <v>267.81</v>
      </c>
      <c r="K70" s="5"/>
    </row>
    <row r="71" spans="1:12" x14ac:dyDescent="0.35">
      <c r="A71" s="1" t="s">
        <v>15</v>
      </c>
      <c r="B71" s="3">
        <v>2022</v>
      </c>
      <c r="C71" s="7">
        <v>8.19</v>
      </c>
      <c r="D71" s="6">
        <v>49.413041657866295</v>
      </c>
      <c r="E71" s="6">
        <v>49.29</v>
      </c>
      <c r="F71" s="6">
        <v>95.38</v>
      </c>
      <c r="G71" s="1">
        <v>155</v>
      </c>
      <c r="H71" s="6">
        <v>17.000410172272353</v>
      </c>
      <c r="I71" s="6">
        <v>268.31</v>
      </c>
      <c r="K71" s="5"/>
    </row>
    <row r="72" spans="1:12" x14ac:dyDescent="0.35">
      <c r="L72" s="5"/>
    </row>
    <row r="73" spans="1:12" x14ac:dyDescent="0.35">
      <c r="L73" s="5"/>
    </row>
    <row r="74" spans="1:12" x14ac:dyDescent="0.35">
      <c r="L74" s="5"/>
    </row>
    <row r="75" spans="1:12" x14ac:dyDescent="0.35">
      <c r="L75" s="5"/>
    </row>
    <row r="76" spans="1:12" x14ac:dyDescent="0.35">
      <c r="L76" s="5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EFD3-2A3C-497F-855C-72DDFD67026B}">
  <dimension ref="A1:S71"/>
  <sheetViews>
    <sheetView workbookViewId="0">
      <selection activeCell="C2" sqref="C2:C71"/>
    </sheetView>
  </sheetViews>
  <sheetFormatPr defaultRowHeight="14.5" x14ac:dyDescent="0.35"/>
  <cols>
    <col min="1" max="1" width="15.1796875" bestFit="1" customWidth="1"/>
    <col min="2" max="2" width="6.08984375" bestFit="1" customWidth="1"/>
    <col min="3" max="3" width="10.36328125" customWidth="1"/>
    <col min="5" max="5" width="15.6328125" customWidth="1"/>
    <col min="6" max="6" width="7.26953125" bestFit="1" customWidth="1"/>
    <col min="7" max="7" width="10.7265625" bestFit="1" customWidth="1"/>
    <col min="8" max="8" width="6.7265625" bestFit="1" customWidth="1"/>
    <col min="9" max="9" width="10.81640625" bestFit="1" customWidth="1"/>
    <col min="10" max="10" width="7.7265625" bestFit="1" customWidth="1"/>
    <col min="11" max="11" width="8.54296875" bestFit="1" customWidth="1"/>
    <col min="12" max="12" width="6.90625" bestFit="1" customWidth="1"/>
    <col min="13" max="13" width="11.1796875" bestFit="1" customWidth="1"/>
    <col min="14" max="14" width="7.81640625" bestFit="1" customWidth="1"/>
    <col min="15" max="15" width="6.90625" bestFit="1" customWidth="1"/>
    <col min="16" max="16" width="11.90625" bestFit="1" customWidth="1"/>
    <col min="17" max="17" width="9.54296875" bestFit="1" customWidth="1"/>
    <col min="18" max="18" width="13.36328125" bestFit="1" customWidth="1"/>
    <col min="19" max="19" width="14.81640625" bestFit="1" customWidth="1"/>
  </cols>
  <sheetData>
    <row r="1" spans="1:19" x14ac:dyDescent="0.35">
      <c r="A1" s="2" t="s">
        <v>0</v>
      </c>
      <c r="B1" s="2" t="s">
        <v>1</v>
      </c>
      <c r="C1" s="2" t="s">
        <v>17</v>
      </c>
      <c r="E1" s="2" t="s">
        <v>1</v>
      </c>
      <c r="F1" s="3" t="s">
        <v>3</v>
      </c>
      <c r="G1" s="3" t="s">
        <v>4</v>
      </c>
      <c r="H1" s="3" t="s">
        <v>5</v>
      </c>
      <c r="I1" s="3" t="s">
        <v>16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13</v>
      </c>
      <c r="Q1" s="3" t="s">
        <v>12</v>
      </c>
      <c r="R1" s="3" t="s">
        <v>14</v>
      </c>
      <c r="S1" s="3" t="s">
        <v>15</v>
      </c>
    </row>
    <row r="2" spans="1:19" x14ac:dyDescent="0.35">
      <c r="A2" s="1" t="s">
        <v>3</v>
      </c>
      <c r="B2" s="3">
        <v>2018</v>
      </c>
      <c r="C2" s="6">
        <f>F2</f>
        <v>6.68</v>
      </c>
      <c r="E2" s="3">
        <v>2018</v>
      </c>
      <c r="F2" s="6">
        <v>6.68</v>
      </c>
      <c r="G2" s="6">
        <v>6.27</v>
      </c>
      <c r="H2" s="6">
        <v>7.09</v>
      </c>
      <c r="I2" s="6">
        <v>6.63</v>
      </c>
      <c r="J2" s="6">
        <v>6.94</v>
      </c>
      <c r="K2" s="6">
        <v>7.04</v>
      </c>
      <c r="L2" s="6">
        <v>6.73</v>
      </c>
      <c r="M2" s="6">
        <v>7.25</v>
      </c>
      <c r="N2" s="6">
        <v>6.58</v>
      </c>
      <c r="O2" s="6">
        <v>6.66</v>
      </c>
      <c r="P2" s="6">
        <v>5.86</v>
      </c>
      <c r="Q2" s="6">
        <v>6.81</v>
      </c>
      <c r="R2" s="6">
        <v>9.9</v>
      </c>
      <c r="S2" s="6">
        <v>7.57</v>
      </c>
    </row>
    <row r="3" spans="1:19" x14ac:dyDescent="0.35">
      <c r="A3" s="1" t="s">
        <v>3</v>
      </c>
      <c r="B3" s="3">
        <v>2019</v>
      </c>
      <c r="C3" s="6">
        <f t="shared" ref="C3:C6" si="0">F3</f>
        <v>6.7</v>
      </c>
      <c r="E3" s="3">
        <v>2019</v>
      </c>
      <c r="F3" s="6">
        <v>6.7</v>
      </c>
      <c r="G3" s="6">
        <v>6.53</v>
      </c>
      <c r="H3" s="6">
        <v>7.1</v>
      </c>
      <c r="I3" s="6">
        <v>6.82</v>
      </c>
      <c r="J3" s="6">
        <v>6.95</v>
      </c>
      <c r="K3" s="6">
        <v>7.26</v>
      </c>
      <c r="L3" s="6">
        <v>6.89</v>
      </c>
      <c r="M3" s="6">
        <v>7.47</v>
      </c>
      <c r="N3" s="6">
        <v>6.6</v>
      </c>
      <c r="O3" s="6">
        <v>6.67</v>
      </c>
      <c r="P3" s="6">
        <v>6</v>
      </c>
      <c r="Q3" s="6">
        <v>6.82</v>
      </c>
      <c r="R3" s="6">
        <v>10.14</v>
      </c>
      <c r="S3" s="6">
        <v>7.72</v>
      </c>
    </row>
    <row r="4" spans="1:19" x14ac:dyDescent="0.35">
      <c r="A4" s="1" t="s">
        <v>3</v>
      </c>
      <c r="B4" s="3">
        <v>2020</v>
      </c>
      <c r="C4" s="6">
        <f t="shared" si="0"/>
        <v>6.71</v>
      </c>
      <c r="E4" s="3">
        <v>2020</v>
      </c>
      <c r="F4" s="7">
        <v>6.71</v>
      </c>
      <c r="G4" s="7">
        <v>6.76</v>
      </c>
      <c r="H4" s="7">
        <v>7.11</v>
      </c>
      <c r="I4" s="7">
        <v>7.03</v>
      </c>
      <c r="J4" s="7">
        <v>7.15</v>
      </c>
      <c r="K4" s="7">
        <v>7.31</v>
      </c>
      <c r="L4" s="7">
        <v>7.07</v>
      </c>
      <c r="M4" s="7">
        <v>7.52</v>
      </c>
      <c r="N4" s="7">
        <v>6.83</v>
      </c>
      <c r="O4" s="7">
        <v>6.76</v>
      </c>
      <c r="P4" s="7">
        <v>6.01</v>
      </c>
      <c r="Q4" s="7">
        <v>6.83</v>
      </c>
      <c r="R4" s="7">
        <v>10.17</v>
      </c>
      <c r="S4" s="7">
        <v>7.89</v>
      </c>
    </row>
    <row r="5" spans="1:19" x14ac:dyDescent="0.35">
      <c r="A5" s="1" t="s">
        <v>3</v>
      </c>
      <c r="B5" s="3">
        <v>2021</v>
      </c>
      <c r="C5" s="6">
        <f t="shared" si="0"/>
        <v>6.72</v>
      </c>
      <c r="E5" s="3">
        <v>2021</v>
      </c>
      <c r="F5" s="7">
        <v>6.72</v>
      </c>
      <c r="G5" s="7">
        <v>6.8</v>
      </c>
      <c r="H5" s="7">
        <v>7.12</v>
      </c>
      <c r="I5" s="7">
        <v>7.04</v>
      </c>
      <c r="J5" s="7">
        <v>7.39</v>
      </c>
      <c r="K5" s="7">
        <v>7.46</v>
      </c>
      <c r="L5" s="7">
        <v>7.08</v>
      </c>
      <c r="M5" s="7">
        <v>7.53</v>
      </c>
      <c r="N5" s="7">
        <v>6.85</v>
      </c>
      <c r="O5" s="7">
        <v>6.91</v>
      </c>
      <c r="P5" s="7">
        <v>6.02</v>
      </c>
      <c r="Q5" s="7">
        <v>7</v>
      </c>
      <c r="R5" s="7">
        <v>10.43</v>
      </c>
      <c r="S5" s="7">
        <v>7.9</v>
      </c>
    </row>
    <row r="6" spans="1:19" x14ac:dyDescent="0.35">
      <c r="A6" s="1" t="s">
        <v>3</v>
      </c>
      <c r="B6" s="3">
        <v>2022</v>
      </c>
      <c r="C6" s="6">
        <f t="shared" si="0"/>
        <v>6.74</v>
      </c>
      <c r="E6" s="3">
        <v>2022</v>
      </c>
      <c r="F6" s="7">
        <v>6.74</v>
      </c>
      <c r="G6" s="7">
        <v>7</v>
      </c>
      <c r="H6" s="7">
        <v>7.15</v>
      </c>
      <c r="I6" s="7">
        <v>7.17</v>
      </c>
      <c r="J6" s="7">
        <v>7.41</v>
      </c>
      <c r="K6" s="7">
        <v>7.48</v>
      </c>
      <c r="L6" s="7">
        <v>7.36</v>
      </c>
      <c r="M6" s="7">
        <v>7.59</v>
      </c>
      <c r="N6" s="7">
        <v>7.12</v>
      </c>
      <c r="O6" s="7">
        <v>7.18</v>
      </c>
      <c r="P6" s="7">
        <v>6.21</v>
      </c>
      <c r="Q6" s="7">
        <v>7.02</v>
      </c>
      <c r="R6" s="7">
        <v>10.44</v>
      </c>
      <c r="S6" s="7">
        <v>8.19</v>
      </c>
    </row>
    <row r="7" spans="1:19" x14ac:dyDescent="0.35">
      <c r="A7" s="1" t="s">
        <v>4</v>
      </c>
      <c r="B7" s="3">
        <v>2018</v>
      </c>
      <c r="C7" s="6">
        <f>G2</f>
        <v>6.27</v>
      </c>
    </row>
    <row r="8" spans="1:19" x14ac:dyDescent="0.35">
      <c r="A8" s="1" t="s">
        <v>4</v>
      </c>
      <c r="B8" s="3">
        <v>2019</v>
      </c>
      <c r="C8" s="6">
        <f t="shared" ref="C8:C11" si="1">G3</f>
        <v>6.53</v>
      </c>
      <c r="E8" s="12" t="s">
        <v>40</v>
      </c>
      <c r="F8" s="3">
        <v>2018</v>
      </c>
      <c r="G8" s="3">
        <v>2019</v>
      </c>
      <c r="H8" s="3">
        <v>2020</v>
      </c>
      <c r="I8" s="3">
        <v>2021</v>
      </c>
      <c r="J8" s="3">
        <v>2022</v>
      </c>
    </row>
    <row r="9" spans="1:19" x14ac:dyDescent="0.35">
      <c r="A9" s="1" t="s">
        <v>4</v>
      </c>
      <c r="B9" s="3">
        <v>2020</v>
      </c>
      <c r="C9" s="6">
        <f t="shared" si="1"/>
        <v>6.76</v>
      </c>
      <c r="E9" s="12" t="s">
        <v>3</v>
      </c>
      <c r="F9" s="13">
        <v>6.68</v>
      </c>
      <c r="G9" s="13">
        <v>6.7</v>
      </c>
      <c r="H9" s="14">
        <v>6.71</v>
      </c>
      <c r="I9" s="14">
        <v>6.72</v>
      </c>
      <c r="J9" s="14">
        <v>6.74</v>
      </c>
    </row>
    <row r="10" spans="1:19" x14ac:dyDescent="0.35">
      <c r="A10" s="1" t="s">
        <v>4</v>
      </c>
      <c r="B10" s="3">
        <v>2021</v>
      </c>
      <c r="C10" s="6">
        <f t="shared" si="1"/>
        <v>6.8</v>
      </c>
      <c r="E10" s="12" t="s">
        <v>4</v>
      </c>
      <c r="F10" s="13">
        <v>6.27</v>
      </c>
      <c r="G10" s="13">
        <v>6.53</v>
      </c>
      <c r="H10" s="14">
        <v>6.76</v>
      </c>
      <c r="I10" s="14">
        <v>6.8</v>
      </c>
      <c r="J10" s="14">
        <v>7</v>
      </c>
    </row>
    <row r="11" spans="1:19" x14ac:dyDescent="0.35">
      <c r="A11" s="1" t="s">
        <v>4</v>
      </c>
      <c r="B11" s="3">
        <v>2022</v>
      </c>
      <c r="C11" s="6">
        <f t="shared" si="1"/>
        <v>7</v>
      </c>
      <c r="E11" s="12" t="s">
        <v>5</v>
      </c>
      <c r="F11" s="13">
        <v>7.09</v>
      </c>
      <c r="G11" s="13">
        <v>7.1</v>
      </c>
      <c r="H11" s="14">
        <v>7.11</v>
      </c>
      <c r="I11" s="14">
        <v>7.12</v>
      </c>
      <c r="J11" s="14">
        <v>7.15</v>
      </c>
    </row>
    <row r="12" spans="1:19" x14ac:dyDescent="0.35">
      <c r="A12" s="1" t="s">
        <v>5</v>
      </c>
      <c r="B12" s="3">
        <v>2018</v>
      </c>
      <c r="C12" s="6">
        <f>H2</f>
        <v>7.09</v>
      </c>
      <c r="E12" s="12" t="s">
        <v>16</v>
      </c>
      <c r="F12" s="13">
        <v>6.63</v>
      </c>
      <c r="G12" s="13">
        <v>6.82</v>
      </c>
      <c r="H12" s="14">
        <v>7.03</v>
      </c>
      <c r="I12" s="14">
        <v>7.04</v>
      </c>
      <c r="J12" s="14">
        <v>7.17</v>
      </c>
    </row>
    <row r="13" spans="1:19" x14ac:dyDescent="0.35">
      <c r="A13" s="1" t="s">
        <v>5</v>
      </c>
      <c r="B13" s="3">
        <v>2019</v>
      </c>
      <c r="C13" s="6">
        <f t="shared" ref="C13:C16" si="2">H3</f>
        <v>7.1</v>
      </c>
      <c r="E13" s="12" t="s">
        <v>6</v>
      </c>
      <c r="F13" s="13">
        <v>6.94</v>
      </c>
      <c r="G13" s="13">
        <v>6.95</v>
      </c>
      <c r="H13" s="14">
        <v>7.15</v>
      </c>
      <c r="I13" s="14">
        <v>7.39</v>
      </c>
      <c r="J13" s="14">
        <v>7.41</v>
      </c>
    </row>
    <row r="14" spans="1:19" x14ac:dyDescent="0.35">
      <c r="A14" s="1" t="s">
        <v>5</v>
      </c>
      <c r="B14" s="3">
        <v>2020</v>
      </c>
      <c r="C14" s="6">
        <f t="shared" si="2"/>
        <v>7.11</v>
      </c>
      <c r="E14" s="12" t="s">
        <v>7</v>
      </c>
      <c r="F14" s="13">
        <v>7.04</v>
      </c>
      <c r="G14" s="13">
        <v>7.26</v>
      </c>
      <c r="H14" s="14">
        <v>7.31</v>
      </c>
      <c r="I14" s="14">
        <v>7.46</v>
      </c>
      <c r="J14" s="14">
        <v>7.48</v>
      </c>
    </row>
    <row r="15" spans="1:19" x14ac:dyDescent="0.35">
      <c r="A15" s="1" t="s">
        <v>5</v>
      </c>
      <c r="B15" s="3">
        <v>2021</v>
      </c>
      <c r="C15" s="6">
        <f t="shared" si="2"/>
        <v>7.12</v>
      </c>
      <c r="E15" s="12" t="s">
        <v>8</v>
      </c>
      <c r="F15" s="13">
        <v>6.73</v>
      </c>
      <c r="G15" s="13">
        <v>6.89</v>
      </c>
      <c r="H15" s="14">
        <v>7.07</v>
      </c>
      <c r="I15" s="14">
        <v>7.08</v>
      </c>
      <c r="J15" s="14">
        <v>7.36</v>
      </c>
    </row>
    <row r="16" spans="1:19" x14ac:dyDescent="0.35">
      <c r="A16" s="1" t="s">
        <v>5</v>
      </c>
      <c r="B16" s="3">
        <v>2022</v>
      </c>
      <c r="C16" s="6">
        <f t="shared" si="2"/>
        <v>7.15</v>
      </c>
      <c r="E16" s="12" t="s">
        <v>9</v>
      </c>
      <c r="F16" s="13">
        <v>7.25</v>
      </c>
      <c r="G16" s="13">
        <v>7.47</v>
      </c>
      <c r="H16" s="14">
        <v>7.52</v>
      </c>
      <c r="I16" s="14">
        <v>7.53</v>
      </c>
      <c r="J16" s="14">
        <v>7.59</v>
      </c>
    </row>
    <row r="17" spans="1:10" x14ac:dyDescent="0.35">
      <c r="A17" s="1" t="s">
        <v>16</v>
      </c>
      <c r="B17" s="3">
        <v>2018</v>
      </c>
      <c r="C17" s="6">
        <f>I2</f>
        <v>6.63</v>
      </c>
      <c r="E17" s="12" t="s">
        <v>10</v>
      </c>
      <c r="F17" s="13">
        <v>6.58</v>
      </c>
      <c r="G17" s="13">
        <v>6.6</v>
      </c>
      <c r="H17" s="14">
        <v>6.83</v>
      </c>
      <c r="I17" s="14">
        <v>6.85</v>
      </c>
      <c r="J17" s="14">
        <v>7.12</v>
      </c>
    </row>
    <row r="18" spans="1:10" x14ac:dyDescent="0.35">
      <c r="A18" s="1" t="s">
        <v>16</v>
      </c>
      <c r="B18" s="3">
        <v>2019</v>
      </c>
      <c r="C18" s="6">
        <f t="shared" ref="C18:C21" si="3">I3</f>
        <v>6.82</v>
      </c>
      <c r="E18" s="12" t="s">
        <v>11</v>
      </c>
      <c r="F18" s="13">
        <v>6.66</v>
      </c>
      <c r="G18" s="13">
        <v>6.67</v>
      </c>
      <c r="H18" s="14">
        <v>6.76</v>
      </c>
      <c r="I18" s="14">
        <v>6.91</v>
      </c>
      <c r="J18" s="14">
        <v>7.18</v>
      </c>
    </row>
    <row r="19" spans="1:10" x14ac:dyDescent="0.35">
      <c r="A19" s="1" t="s">
        <v>16</v>
      </c>
      <c r="B19" s="3">
        <v>2020</v>
      </c>
      <c r="C19" s="6">
        <f t="shared" si="3"/>
        <v>7.03</v>
      </c>
      <c r="E19" s="12" t="s">
        <v>13</v>
      </c>
      <c r="F19" s="13">
        <v>5.86</v>
      </c>
      <c r="G19" s="13">
        <v>6</v>
      </c>
      <c r="H19" s="14">
        <v>6.01</v>
      </c>
      <c r="I19" s="14">
        <v>6.02</v>
      </c>
      <c r="J19" s="14">
        <v>6.21</v>
      </c>
    </row>
    <row r="20" spans="1:10" x14ac:dyDescent="0.35">
      <c r="A20" s="1" t="s">
        <v>16</v>
      </c>
      <c r="B20" s="3">
        <v>2021</v>
      </c>
      <c r="C20" s="6">
        <f t="shared" si="3"/>
        <v>7.04</v>
      </c>
      <c r="E20" s="12" t="s">
        <v>12</v>
      </c>
      <c r="F20" s="13">
        <v>6.81</v>
      </c>
      <c r="G20" s="13">
        <v>6.82</v>
      </c>
      <c r="H20" s="14">
        <v>6.83</v>
      </c>
      <c r="I20" s="14">
        <v>7</v>
      </c>
      <c r="J20" s="14">
        <v>7.02</v>
      </c>
    </row>
    <row r="21" spans="1:10" x14ac:dyDescent="0.35">
      <c r="A21" s="1" t="s">
        <v>16</v>
      </c>
      <c r="B21" s="3">
        <v>2022</v>
      </c>
      <c r="C21" s="6">
        <f t="shared" si="3"/>
        <v>7.17</v>
      </c>
      <c r="E21" s="12" t="s">
        <v>25</v>
      </c>
      <c r="F21" s="13">
        <v>9.9</v>
      </c>
      <c r="G21" s="13">
        <v>10.14</v>
      </c>
      <c r="H21" s="14">
        <v>10.17</v>
      </c>
      <c r="I21" s="14">
        <v>10.43</v>
      </c>
      <c r="J21" s="14">
        <v>10.44</v>
      </c>
    </row>
    <row r="22" spans="1:10" x14ac:dyDescent="0.35">
      <c r="A22" s="1" t="s">
        <v>6</v>
      </c>
      <c r="B22" s="3">
        <v>2018</v>
      </c>
      <c r="C22" s="6">
        <f>J2</f>
        <v>6.94</v>
      </c>
      <c r="E22" s="12" t="s">
        <v>26</v>
      </c>
      <c r="F22" s="13">
        <v>7.57</v>
      </c>
      <c r="G22" s="13">
        <v>7.72</v>
      </c>
      <c r="H22" s="14">
        <v>7.89</v>
      </c>
      <c r="I22" s="14">
        <v>7.9</v>
      </c>
      <c r="J22" s="14">
        <v>8.19</v>
      </c>
    </row>
    <row r="23" spans="1:10" x14ac:dyDescent="0.35">
      <c r="A23" s="1" t="s">
        <v>6</v>
      </c>
      <c r="B23" s="3">
        <v>2019</v>
      </c>
      <c r="C23" s="6">
        <f t="shared" ref="C23:C26" si="4">J3</f>
        <v>6.95</v>
      </c>
    </row>
    <row r="24" spans="1:10" x14ac:dyDescent="0.35">
      <c r="A24" s="1" t="s">
        <v>6</v>
      </c>
      <c r="B24" s="3">
        <v>2020</v>
      </c>
      <c r="C24" s="6">
        <f t="shared" si="4"/>
        <v>7.15</v>
      </c>
    </row>
    <row r="25" spans="1:10" x14ac:dyDescent="0.35">
      <c r="A25" s="1" t="s">
        <v>6</v>
      </c>
      <c r="B25" s="3">
        <v>2021</v>
      </c>
      <c r="C25" s="6">
        <f t="shared" si="4"/>
        <v>7.39</v>
      </c>
    </row>
    <row r="26" spans="1:10" x14ac:dyDescent="0.35">
      <c r="A26" s="1" t="s">
        <v>6</v>
      </c>
      <c r="B26" s="3">
        <v>2022</v>
      </c>
      <c r="C26" s="6">
        <f t="shared" si="4"/>
        <v>7.41</v>
      </c>
    </row>
    <row r="27" spans="1:10" x14ac:dyDescent="0.35">
      <c r="A27" s="1" t="s">
        <v>7</v>
      </c>
      <c r="B27" s="3">
        <v>2018</v>
      </c>
      <c r="C27" s="6">
        <f>K2</f>
        <v>7.04</v>
      </c>
    </row>
    <row r="28" spans="1:10" x14ac:dyDescent="0.35">
      <c r="A28" s="1" t="s">
        <v>7</v>
      </c>
      <c r="B28" s="3">
        <v>2019</v>
      </c>
      <c r="C28" s="6">
        <f t="shared" ref="C28:C31" si="5">K3</f>
        <v>7.26</v>
      </c>
    </row>
    <row r="29" spans="1:10" x14ac:dyDescent="0.35">
      <c r="A29" s="1" t="s">
        <v>7</v>
      </c>
      <c r="B29" s="3">
        <v>2020</v>
      </c>
      <c r="C29" s="6">
        <f t="shared" si="5"/>
        <v>7.31</v>
      </c>
    </row>
    <row r="30" spans="1:10" x14ac:dyDescent="0.35">
      <c r="A30" s="1" t="s">
        <v>7</v>
      </c>
      <c r="B30" s="3">
        <v>2021</v>
      </c>
      <c r="C30" s="6">
        <f t="shared" si="5"/>
        <v>7.46</v>
      </c>
    </row>
    <row r="31" spans="1:10" x14ac:dyDescent="0.35">
      <c r="A31" s="1" t="s">
        <v>7</v>
      </c>
      <c r="B31" s="3">
        <v>2022</v>
      </c>
      <c r="C31" s="6">
        <f t="shared" si="5"/>
        <v>7.48</v>
      </c>
    </row>
    <row r="32" spans="1:10" x14ac:dyDescent="0.35">
      <c r="A32" s="1" t="s">
        <v>8</v>
      </c>
      <c r="B32" s="3">
        <v>2018</v>
      </c>
      <c r="C32" s="6">
        <f>L2</f>
        <v>6.73</v>
      </c>
    </row>
    <row r="33" spans="1:3" x14ac:dyDescent="0.35">
      <c r="A33" s="1" t="s">
        <v>8</v>
      </c>
      <c r="B33" s="3">
        <v>2019</v>
      </c>
      <c r="C33" s="6">
        <f t="shared" ref="C33:C36" si="6">L3</f>
        <v>6.89</v>
      </c>
    </row>
    <row r="34" spans="1:3" x14ac:dyDescent="0.35">
      <c r="A34" s="1" t="s">
        <v>8</v>
      </c>
      <c r="B34" s="3">
        <v>2020</v>
      </c>
      <c r="C34" s="6">
        <f t="shared" si="6"/>
        <v>7.07</v>
      </c>
    </row>
    <row r="35" spans="1:3" x14ac:dyDescent="0.35">
      <c r="A35" s="1" t="s">
        <v>8</v>
      </c>
      <c r="B35" s="3">
        <v>2021</v>
      </c>
      <c r="C35" s="6">
        <f t="shared" si="6"/>
        <v>7.08</v>
      </c>
    </row>
    <row r="36" spans="1:3" x14ac:dyDescent="0.35">
      <c r="A36" s="1" t="s">
        <v>8</v>
      </c>
      <c r="B36" s="3">
        <v>2022</v>
      </c>
      <c r="C36" s="6">
        <f t="shared" si="6"/>
        <v>7.36</v>
      </c>
    </row>
    <row r="37" spans="1:3" x14ac:dyDescent="0.35">
      <c r="A37" s="1" t="s">
        <v>9</v>
      </c>
      <c r="B37" s="3">
        <v>2018</v>
      </c>
      <c r="C37" s="6">
        <f>M2</f>
        <v>7.25</v>
      </c>
    </row>
    <row r="38" spans="1:3" x14ac:dyDescent="0.35">
      <c r="A38" s="1" t="s">
        <v>9</v>
      </c>
      <c r="B38" s="3">
        <v>2019</v>
      </c>
      <c r="C38" s="6">
        <f t="shared" ref="C38:C41" si="7">M3</f>
        <v>7.47</v>
      </c>
    </row>
    <row r="39" spans="1:3" x14ac:dyDescent="0.35">
      <c r="A39" s="1" t="s">
        <v>9</v>
      </c>
      <c r="B39" s="3">
        <v>2020</v>
      </c>
      <c r="C39" s="6">
        <f t="shared" si="7"/>
        <v>7.52</v>
      </c>
    </row>
    <row r="40" spans="1:3" x14ac:dyDescent="0.35">
      <c r="A40" s="1" t="s">
        <v>9</v>
      </c>
      <c r="B40" s="3">
        <v>2021</v>
      </c>
      <c r="C40" s="6">
        <f t="shared" si="7"/>
        <v>7.53</v>
      </c>
    </row>
    <row r="41" spans="1:3" x14ac:dyDescent="0.35">
      <c r="A41" s="1" t="s">
        <v>9</v>
      </c>
      <c r="B41" s="3">
        <v>2022</v>
      </c>
      <c r="C41" s="6">
        <f t="shared" si="7"/>
        <v>7.59</v>
      </c>
    </row>
    <row r="42" spans="1:3" x14ac:dyDescent="0.35">
      <c r="A42" s="1" t="s">
        <v>10</v>
      </c>
      <c r="B42" s="3">
        <v>2018</v>
      </c>
      <c r="C42" s="6">
        <f>N2</f>
        <v>6.58</v>
      </c>
    </row>
    <row r="43" spans="1:3" x14ac:dyDescent="0.35">
      <c r="A43" s="1" t="s">
        <v>10</v>
      </c>
      <c r="B43" s="3">
        <v>2019</v>
      </c>
      <c r="C43" s="6">
        <f t="shared" ref="C43:C46" si="8">N3</f>
        <v>6.6</v>
      </c>
    </row>
    <row r="44" spans="1:3" x14ac:dyDescent="0.35">
      <c r="A44" s="1" t="s">
        <v>10</v>
      </c>
      <c r="B44" s="3">
        <v>2020</v>
      </c>
      <c r="C44" s="6">
        <f t="shared" si="8"/>
        <v>6.83</v>
      </c>
    </row>
    <row r="45" spans="1:3" x14ac:dyDescent="0.35">
      <c r="A45" s="1" t="s">
        <v>10</v>
      </c>
      <c r="B45" s="3">
        <v>2021</v>
      </c>
      <c r="C45" s="6">
        <f t="shared" si="8"/>
        <v>6.85</v>
      </c>
    </row>
    <row r="46" spans="1:3" x14ac:dyDescent="0.35">
      <c r="A46" s="1" t="s">
        <v>10</v>
      </c>
      <c r="B46" s="3">
        <v>2022</v>
      </c>
      <c r="C46" s="6">
        <f t="shared" si="8"/>
        <v>7.12</v>
      </c>
    </row>
    <row r="47" spans="1:3" x14ac:dyDescent="0.35">
      <c r="A47" s="1" t="s">
        <v>11</v>
      </c>
      <c r="B47" s="3">
        <v>2018</v>
      </c>
      <c r="C47" s="6">
        <f>O2</f>
        <v>6.66</v>
      </c>
    </row>
    <row r="48" spans="1:3" x14ac:dyDescent="0.35">
      <c r="A48" s="1" t="s">
        <v>11</v>
      </c>
      <c r="B48" s="3">
        <v>2019</v>
      </c>
      <c r="C48" s="6">
        <f t="shared" ref="C48:C51" si="9">O3</f>
        <v>6.67</v>
      </c>
    </row>
    <row r="49" spans="1:3" x14ac:dyDescent="0.35">
      <c r="A49" s="1" t="s">
        <v>11</v>
      </c>
      <c r="B49" s="3">
        <v>2020</v>
      </c>
      <c r="C49" s="6">
        <f t="shared" si="9"/>
        <v>6.76</v>
      </c>
    </row>
    <row r="50" spans="1:3" x14ac:dyDescent="0.35">
      <c r="A50" s="1" t="s">
        <v>11</v>
      </c>
      <c r="B50" s="3">
        <v>2021</v>
      </c>
      <c r="C50" s="6">
        <f t="shared" si="9"/>
        <v>6.91</v>
      </c>
    </row>
    <row r="51" spans="1:3" x14ac:dyDescent="0.35">
      <c r="A51" s="1" t="s">
        <v>11</v>
      </c>
      <c r="B51" s="3">
        <v>2022</v>
      </c>
      <c r="C51" s="6">
        <f t="shared" si="9"/>
        <v>7.18</v>
      </c>
    </row>
    <row r="52" spans="1:3" x14ac:dyDescent="0.35">
      <c r="A52" s="1" t="s">
        <v>13</v>
      </c>
      <c r="B52" s="3">
        <v>2018</v>
      </c>
      <c r="C52" s="6">
        <f>P2</f>
        <v>5.86</v>
      </c>
    </row>
    <row r="53" spans="1:3" x14ac:dyDescent="0.35">
      <c r="A53" s="1" t="s">
        <v>13</v>
      </c>
      <c r="B53" s="3">
        <v>2019</v>
      </c>
      <c r="C53" s="6">
        <f t="shared" ref="C53:C56" si="10">P3</f>
        <v>6</v>
      </c>
    </row>
    <row r="54" spans="1:3" x14ac:dyDescent="0.35">
      <c r="A54" s="1" t="s">
        <v>13</v>
      </c>
      <c r="B54" s="3">
        <v>2020</v>
      </c>
      <c r="C54" s="6">
        <f t="shared" si="10"/>
        <v>6.01</v>
      </c>
    </row>
    <row r="55" spans="1:3" x14ac:dyDescent="0.35">
      <c r="A55" s="1" t="s">
        <v>13</v>
      </c>
      <c r="B55" s="3">
        <v>2021</v>
      </c>
      <c r="C55" s="6">
        <f t="shared" si="10"/>
        <v>6.02</v>
      </c>
    </row>
    <row r="56" spans="1:3" x14ac:dyDescent="0.35">
      <c r="A56" s="1" t="s">
        <v>13</v>
      </c>
      <c r="B56" s="3">
        <v>2022</v>
      </c>
      <c r="C56" s="6">
        <f t="shared" si="10"/>
        <v>6.21</v>
      </c>
    </row>
    <row r="57" spans="1:3" x14ac:dyDescent="0.35">
      <c r="A57" s="1" t="s">
        <v>12</v>
      </c>
      <c r="B57" s="3">
        <v>2018</v>
      </c>
      <c r="C57" s="6">
        <f>Q2</f>
        <v>6.81</v>
      </c>
    </row>
    <row r="58" spans="1:3" x14ac:dyDescent="0.35">
      <c r="A58" s="1" t="s">
        <v>12</v>
      </c>
      <c r="B58" s="3">
        <v>2019</v>
      </c>
      <c r="C58" s="6">
        <f t="shared" ref="C58:C61" si="11">Q3</f>
        <v>6.82</v>
      </c>
    </row>
    <row r="59" spans="1:3" x14ac:dyDescent="0.35">
      <c r="A59" s="1" t="s">
        <v>12</v>
      </c>
      <c r="B59" s="3">
        <v>2020</v>
      </c>
      <c r="C59" s="6">
        <f t="shared" si="11"/>
        <v>6.83</v>
      </c>
    </row>
    <row r="60" spans="1:3" x14ac:dyDescent="0.35">
      <c r="A60" s="1" t="s">
        <v>12</v>
      </c>
      <c r="B60" s="3">
        <v>2021</v>
      </c>
      <c r="C60" s="6">
        <f t="shared" si="11"/>
        <v>7</v>
      </c>
    </row>
    <row r="61" spans="1:3" x14ac:dyDescent="0.35">
      <c r="A61" s="1" t="s">
        <v>12</v>
      </c>
      <c r="B61" s="3">
        <v>2022</v>
      </c>
      <c r="C61" s="6">
        <f t="shared" si="11"/>
        <v>7.02</v>
      </c>
    </row>
    <row r="62" spans="1:3" x14ac:dyDescent="0.35">
      <c r="A62" s="1" t="s">
        <v>14</v>
      </c>
      <c r="B62" s="3">
        <v>2018</v>
      </c>
      <c r="C62" s="6">
        <f>R2</f>
        <v>9.9</v>
      </c>
    </row>
    <row r="63" spans="1:3" x14ac:dyDescent="0.35">
      <c r="A63" s="1" t="s">
        <v>14</v>
      </c>
      <c r="B63" s="3">
        <v>2019</v>
      </c>
      <c r="C63" s="6">
        <f t="shared" ref="C63:C66" si="12">R3</f>
        <v>10.14</v>
      </c>
    </row>
    <row r="64" spans="1:3" x14ac:dyDescent="0.35">
      <c r="A64" s="1" t="s">
        <v>14</v>
      </c>
      <c r="B64" s="3">
        <v>2020</v>
      </c>
      <c r="C64" s="6">
        <f t="shared" si="12"/>
        <v>10.17</v>
      </c>
    </row>
    <row r="65" spans="1:3" x14ac:dyDescent="0.35">
      <c r="A65" s="1" t="s">
        <v>14</v>
      </c>
      <c r="B65" s="3">
        <v>2021</v>
      </c>
      <c r="C65" s="6">
        <f t="shared" si="12"/>
        <v>10.43</v>
      </c>
    </row>
    <row r="66" spans="1:3" x14ac:dyDescent="0.35">
      <c r="A66" s="1" t="s">
        <v>14</v>
      </c>
      <c r="B66" s="3">
        <v>2022</v>
      </c>
      <c r="C66" s="6">
        <f t="shared" si="12"/>
        <v>10.44</v>
      </c>
    </row>
    <row r="67" spans="1:3" x14ac:dyDescent="0.35">
      <c r="A67" s="1" t="s">
        <v>15</v>
      </c>
      <c r="B67" s="3">
        <v>2018</v>
      </c>
      <c r="C67" s="6">
        <f>S2</f>
        <v>7.57</v>
      </c>
    </row>
    <row r="68" spans="1:3" x14ac:dyDescent="0.35">
      <c r="A68" s="1" t="s">
        <v>15</v>
      </c>
      <c r="B68" s="3">
        <v>2019</v>
      </c>
      <c r="C68" s="6">
        <f t="shared" ref="C68:C71" si="13">S3</f>
        <v>7.72</v>
      </c>
    </row>
    <row r="69" spans="1:3" x14ac:dyDescent="0.35">
      <c r="A69" s="1" t="s">
        <v>15</v>
      </c>
      <c r="B69" s="3">
        <v>2020</v>
      </c>
      <c r="C69" s="6">
        <f t="shared" si="13"/>
        <v>7.89</v>
      </c>
    </row>
    <row r="70" spans="1:3" x14ac:dyDescent="0.35">
      <c r="A70" s="1" t="s">
        <v>15</v>
      </c>
      <c r="B70" s="3">
        <v>2021</v>
      </c>
      <c r="C70" s="6">
        <f t="shared" si="13"/>
        <v>7.9</v>
      </c>
    </row>
    <row r="71" spans="1:3" x14ac:dyDescent="0.35">
      <c r="A71" s="1" t="s">
        <v>15</v>
      </c>
      <c r="B71" s="3">
        <v>2022</v>
      </c>
      <c r="C71" s="6">
        <f t="shared" si="13"/>
        <v>8.19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E986C-A22C-4C6D-AD5A-2D6135B72452}">
  <dimension ref="A1:S71"/>
  <sheetViews>
    <sheetView topLeftCell="A51" workbookViewId="0">
      <selection activeCell="C2" sqref="C2:C71"/>
    </sheetView>
  </sheetViews>
  <sheetFormatPr defaultRowHeight="14.5" x14ac:dyDescent="0.35"/>
  <cols>
    <col min="1" max="1" width="15.1796875" bestFit="1" customWidth="1"/>
    <col min="2" max="2" width="6.08984375" bestFit="1" customWidth="1"/>
    <col min="3" max="3" width="10.36328125" customWidth="1"/>
    <col min="6" max="6" width="12.36328125" customWidth="1"/>
    <col min="7" max="7" width="11.36328125" customWidth="1"/>
    <col min="8" max="8" width="10.36328125" bestFit="1" customWidth="1"/>
    <col min="9" max="9" width="11.36328125" bestFit="1" customWidth="1"/>
    <col min="10" max="10" width="10.36328125" bestFit="1" customWidth="1"/>
    <col min="11" max="14" width="11.36328125" bestFit="1" customWidth="1"/>
    <col min="15" max="17" width="10.36328125" bestFit="1" customWidth="1"/>
    <col min="18" max="20" width="11.36328125" bestFit="1" customWidth="1"/>
  </cols>
  <sheetData>
    <row r="1" spans="1:19" x14ac:dyDescent="0.35">
      <c r="A1" s="2" t="s">
        <v>0</v>
      </c>
      <c r="B1" s="2" t="s">
        <v>1</v>
      </c>
      <c r="C1" s="2" t="s">
        <v>2</v>
      </c>
      <c r="E1" s="2" t="s">
        <v>1</v>
      </c>
      <c r="F1" s="1" t="s">
        <v>3</v>
      </c>
      <c r="G1" s="1" t="s">
        <v>4</v>
      </c>
      <c r="H1" s="1" t="s">
        <v>5</v>
      </c>
      <c r="I1" s="1" t="s">
        <v>16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13</v>
      </c>
      <c r="Q1" s="1" t="s">
        <v>12</v>
      </c>
      <c r="R1" s="1" t="s">
        <v>14</v>
      </c>
      <c r="S1" s="1" t="s">
        <v>15</v>
      </c>
    </row>
    <row r="2" spans="1:19" x14ac:dyDescent="0.35">
      <c r="A2" s="1" t="s">
        <v>3</v>
      </c>
      <c r="B2" s="3">
        <v>2018</v>
      </c>
      <c r="C2" s="6">
        <f>F2</f>
        <v>35.644513141910856</v>
      </c>
      <c r="E2" s="1">
        <v>2018</v>
      </c>
      <c r="F2" s="1">
        <f t="shared" ref="F2:S2" si="0">F11/F19</f>
        <v>35.644513141910856</v>
      </c>
      <c r="G2" s="1">
        <f t="shared" si="0"/>
        <v>31.831117380232374</v>
      </c>
      <c r="H2" s="1">
        <f t="shared" si="0"/>
        <v>26.181058535891509</v>
      </c>
      <c r="I2" s="1">
        <f t="shared" si="0"/>
        <v>29.10024179197012</v>
      </c>
      <c r="J2" s="1">
        <f t="shared" si="0"/>
        <v>39.05034235282708</v>
      </c>
      <c r="K2" s="1">
        <f t="shared" si="0"/>
        <v>49.602960389517627</v>
      </c>
      <c r="L2" s="1">
        <f t="shared" si="0"/>
        <v>32.393864779410166</v>
      </c>
      <c r="M2" s="1">
        <f t="shared" si="0"/>
        <v>36.400678536125781</v>
      </c>
      <c r="N2" s="1">
        <f t="shared" si="0"/>
        <v>29.346812642802742</v>
      </c>
      <c r="O2" s="1">
        <f t="shared" si="0"/>
        <v>23.091158364913444</v>
      </c>
      <c r="P2" s="1">
        <f t="shared" si="0"/>
        <v>34.232620222003803</v>
      </c>
      <c r="Q2" s="1">
        <f t="shared" si="0"/>
        <v>46.142802173357111</v>
      </c>
      <c r="R2" s="1">
        <f t="shared" si="0"/>
        <v>56.568916206566179</v>
      </c>
      <c r="S2" s="1">
        <f t="shared" si="0"/>
        <v>44.240574360566242</v>
      </c>
    </row>
    <row r="3" spans="1:19" x14ac:dyDescent="0.35">
      <c r="A3" s="1" t="s">
        <v>3</v>
      </c>
      <c r="B3" s="3">
        <v>2019</v>
      </c>
      <c r="C3" s="6">
        <f t="shared" ref="C3:C6" si="1">F3</f>
        <v>38.32185628820757</v>
      </c>
      <c r="E3" s="1">
        <v>2019</v>
      </c>
      <c r="F3" s="1">
        <f t="shared" ref="F3:S3" si="2">F12/F20</f>
        <v>38.32185628820757</v>
      </c>
      <c r="G3" s="1">
        <f t="shared" si="2"/>
        <v>33.867308166935018</v>
      </c>
      <c r="H3" s="1">
        <f t="shared" si="2"/>
        <v>27.953259644054548</v>
      </c>
      <c r="I3" s="1">
        <f t="shared" si="2"/>
        <v>31.405637770839245</v>
      </c>
      <c r="J3" s="1">
        <f t="shared" si="2"/>
        <v>40.743506009901665</v>
      </c>
      <c r="K3" s="1">
        <f t="shared" si="2"/>
        <v>53.606912651160428</v>
      </c>
      <c r="L3" s="1">
        <f t="shared" si="2"/>
        <v>35.057176928495529</v>
      </c>
      <c r="M3" s="1">
        <f t="shared" si="2"/>
        <v>38.774409647159835</v>
      </c>
      <c r="N3" s="1">
        <f t="shared" si="2"/>
        <v>31.909677196916331</v>
      </c>
      <c r="O3" s="1">
        <f t="shared" si="2"/>
        <v>24.680081663204056</v>
      </c>
      <c r="P3" s="1">
        <f t="shared" si="2"/>
        <v>36.668786053320325</v>
      </c>
      <c r="Q3" s="1">
        <f t="shared" si="2"/>
        <v>50.239146325675648</v>
      </c>
      <c r="R3" s="1">
        <f t="shared" si="2"/>
        <v>59.858590436101764</v>
      </c>
      <c r="S3" s="1">
        <f t="shared" si="2"/>
        <v>45.8857408819703</v>
      </c>
    </row>
    <row r="4" spans="1:19" x14ac:dyDescent="0.35">
      <c r="A4" s="1" t="s">
        <v>3</v>
      </c>
      <c r="B4" s="3">
        <v>2020</v>
      </c>
      <c r="C4" s="6">
        <f t="shared" si="1"/>
        <v>32.814457926195225</v>
      </c>
      <c r="E4" s="1">
        <v>2020</v>
      </c>
      <c r="F4" s="1">
        <f t="shared" ref="F4:S4" si="3">F13/F21</f>
        <v>32.814457926195225</v>
      </c>
      <c r="G4" s="1">
        <f t="shared" si="3"/>
        <v>30.285487662641518</v>
      </c>
      <c r="H4" s="1">
        <f t="shared" si="3"/>
        <v>27.009343728779459</v>
      </c>
      <c r="I4" s="1">
        <f t="shared" si="3"/>
        <v>28.336935701021357</v>
      </c>
      <c r="J4" s="1">
        <f t="shared" si="3"/>
        <v>41.088877022333328</v>
      </c>
      <c r="K4" s="1">
        <f t="shared" si="3"/>
        <v>49.251833150211077</v>
      </c>
      <c r="L4" s="1">
        <f t="shared" si="3"/>
        <v>34.917788519508385</v>
      </c>
      <c r="M4" s="1">
        <f t="shared" si="3"/>
        <v>40.671061205261886</v>
      </c>
      <c r="N4" s="1">
        <f t="shared" si="3"/>
        <v>31.049424037738881</v>
      </c>
      <c r="O4" s="1">
        <f t="shared" si="3"/>
        <v>22.921139834406624</v>
      </c>
      <c r="P4" s="1">
        <f t="shared" si="3"/>
        <v>33.236327989823891</v>
      </c>
      <c r="Q4" s="1">
        <f t="shared" si="3"/>
        <v>47.47439976238612</v>
      </c>
      <c r="R4" s="1">
        <f t="shared" si="3"/>
        <v>57.157077647130265</v>
      </c>
      <c r="S4" s="1">
        <f t="shared" si="3"/>
        <v>43.078587023108604</v>
      </c>
    </row>
    <row r="5" spans="1:19" x14ac:dyDescent="0.35">
      <c r="A5" s="1" t="s">
        <v>3</v>
      </c>
      <c r="B5" s="3">
        <v>2021</v>
      </c>
      <c r="C5" s="6">
        <f t="shared" si="1"/>
        <v>34.947961198536866</v>
      </c>
      <c r="E5" s="1">
        <v>2021</v>
      </c>
      <c r="F5" s="1">
        <f t="shared" ref="F5:S5" si="4">F14/F22</f>
        <v>34.947961198536866</v>
      </c>
      <c r="G5" s="1">
        <f t="shared" si="4"/>
        <v>32.028706069573765</v>
      </c>
      <c r="H5" s="1">
        <f t="shared" si="4"/>
        <v>28.955586694689394</v>
      </c>
      <c r="I5" s="1">
        <f t="shared" si="4"/>
        <v>29.719719569605427</v>
      </c>
      <c r="J5" s="1">
        <f t="shared" si="4"/>
        <v>44.375795749262579</v>
      </c>
      <c r="K5" s="1">
        <f t="shared" si="4"/>
        <v>53.302080986055145</v>
      </c>
      <c r="L5" s="1">
        <f t="shared" si="4"/>
        <v>37.172634761632764</v>
      </c>
      <c r="M5" s="1">
        <f t="shared" si="4"/>
        <v>43.634962126586267</v>
      </c>
      <c r="N5" s="1">
        <f t="shared" si="4"/>
        <v>33.505998459211384</v>
      </c>
      <c r="O5" s="1">
        <f t="shared" si="4"/>
        <v>24.332104116034284</v>
      </c>
      <c r="P5" s="1">
        <f t="shared" si="4"/>
        <v>35.268232127576823</v>
      </c>
      <c r="Q5" s="1">
        <f t="shared" si="4"/>
        <v>50.77247235927657</v>
      </c>
      <c r="R5" s="1">
        <f t="shared" si="4"/>
        <v>60.568889022815583</v>
      </c>
      <c r="S5" s="1">
        <f t="shared" si="4"/>
        <v>45.72618005725311</v>
      </c>
    </row>
    <row r="6" spans="1:19" x14ac:dyDescent="0.35">
      <c r="A6" s="1" t="s">
        <v>3</v>
      </c>
      <c r="B6" s="3">
        <v>2022</v>
      </c>
      <c r="C6" s="6">
        <f t="shared" si="1"/>
        <v>37.687171834577455</v>
      </c>
      <c r="E6" s="1">
        <v>2022</v>
      </c>
      <c r="F6" s="1">
        <f t="shared" ref="F6:S6" si="5">F15/F23</f>
        <v>37.687171834577455</v>
      </c>
      <c r="G6" s="1">
        <f t="shared" si="5"/>
        <v>34.77962779808324</v>
      </c>
      <c r="H6" s="1">
        <f t="shared" si="5"/>
        <v>31.514283910053383</v>
      </c>
      <c r="I6" s="1">
        <f t="shared" si="5"/>
        <v>32.019155139309227</v>
      </c>
      <c r="J6" s="1">
        <f t="shared" si="5"/>
        <v>48.372395611261105</v>
      </c>
      <c r="K6" s="1">
        <f t="shared" si="5"/>
        <v>57.972970872605451</v>
      </c>
      <c r="L6" s="1">
        <f t="shared" si="5"/>
        <v>40.641366670106194</v>
      </c>
      <c r="M6" s="1">
        <f t="shared" si="5"/>
        <v>47.793489519402335</v>
      </c>
      <c r="N6" s="1">
        <f t="shared" si="5"/>
        <v>36.768001343101915</v>
      </c>
      <c r="O6" s="1">
        <f t="shared" si="5"/>
        <v>26.280356770556324</v>
      </c>
      <c r="P6" s="1">
        <f t="shared" si="5"/>
        <v>37.990767177202834</v>
      </c>
      <c r="Q6" s="1">
        <f t="shared" si="5"/>
        <v>56.693186846389608</v>
      </c>
      <c r="R6" s="1">
        <f t="shared" si="5"/>
        <v>66.169963197694813</v>
      </c>
      <c r="S6" s="1">
        <f t="shared" si="5"/>
        <v>49.413041657866295</v>
      </c>
    </row>
    <row r="7" spans="1:19" x14ac:dyDescent="0.35">
      <c r="A7" s="1" t="s">
        <v>4</v>
      </c>
      <c r="B7" s="3">
        <v>2018</v>
      </c>
      <c r="C7" s="6">
        <f>G2</f>
        <v>31.831117380232374</v>
      </c>
    </row>
    <row r="8" spans="1:19" x14ac:dyDescent="0.35">
      <c r="A8" s="1" t="s">
        <v>4</v>
      </c>
      <c r="B8" s="3">
        <v>2019</v>
      </c>
      <c r="C8" s="6">
        <f t="shared" ref="C8:C11" si="6">G3</f>
        <v>33.867308166935018</v>
      </c>
      <c r="E8" s="4" t="s">
        <v>41</v>
      </c>
      <c r="F8" s="4" t="s">
        <v>22</v>
      </c>
    </row>
    <row r="9" spans="1:19" x14ac:dyDescent="0.35">
      <c r="A9" s="1" t="s">
        <v>4</v>
      </c>
      <c r="B9" s="3">
        <v>2020</v>
      </c>
      <c r="C9" s="6">
        <f t="shared" si="6"/>
        <v>30.285487662641518</v>
      </c>
      <c r="E9" s="4" t="s">
        <v>23</v>
      </c>
    </row>
    <row r="10" spans="1:19" x14ac:dyDescent="0.35">
      <c r="A10" s="1" t="s">
        <v>4</v>
      </c>
      <c r="B10" s="3">
        <v>2021</v>
      </c>
      <c r="C10" s="6">
        <f t="shared" si="6"/>
        <v>32.028706069573765</v>
      </c>
      <c r="E10" s="1" t="s">
        <v>1</v>
      </c>
      <c r="F10" s="1" t="s">
        <v>3</v>
      </c>
      <c r="G10" s="1" t="s">
        <v>4</v>
      </c>
      <c r="H10" s="1" t="s">
        <v>5</v>
      </c>
      <c r="I10" s="1" t="s">
        <v>16</v>
      </c>
      <c r="J10" s="1" t="s">
        <v>6</v>
      </c>
      <c r="K10" s="1" t="s">
        <v>7</v>
      </c>
      <c r="L10" s="1" t="s">
        <v>8</v>
      </c>
      <c r="M10" s="1" t="s">
        <v>9</v>
      </c>
      <c r="N10" s="1" t="s">
        <v>10</v>
      </c>
      <c r="O10" s="1" t="s">
        <v>11</v>
      </c>
      <c r="P10" s="1" t="s">
        <v>13</v>
      </c>
      <c r="Q10" s="1" t="s">
        <v>12</v>
      </c>
      <c r="R10" s="1" t="s">
        <v>14</v>
      </c>
      <c r="S10" s="1" t="s">
        <v>15</v>
      </c>
    </row>
    <row r="11" spans="1:19" x14ac:dyDescent="0.35">
      <c r="A11" s="1" t="s">
        <v>4</v>
      </c>
      <c r="B11" s="3">
        <v>2022</v>
      </c>
      <c r="C11" s="6">
        <f t="shared" si="6"/>
        <v>34.77962779808324</v>
      </c>
      <c r="E11" s="1">
        <v>2018</v>
      </c>
      <c r="F11" s="1">
        <v>18984588.5</v>
      </c>
      <c r="G11" s="1">
        <v>7999796.4199999999</v>
      </c>
      <c r="H11" s="1">
        <v>9755298.0399999991</v>
      </c>
      <c r="I11" s="1">
        <v>7603864.0800000001</v>
      </c>
      <c r="J11" s="1">
        <v>18119163.600000001</v>
      </c>
      <c r="K11" s="1">
        <v>25000288.859999999</v>
      </c>
      <c r="L11" s="1">
        <v>13390619.49</v>
      </c>
      <c r="M11" s="1">
        <v>9427193.3300000001</v>
      </c>
      <c r="N11" s="1">
        <v>5856919.4800000004</v>
      </c>
      <c r="O11" s="1">
        <v>4740568.63</v>
      </c>
      <c r="P11" s="1">
        <v>3796363.35</v>
      </c>
      <c r="Q11" s="1">
        <v>26343571.760000002</v>
      </c>
      <c r="R11" s="1">
        <v>36075298.950000003</v>
      </c>
      <c r="S11" s="1">
        <v>9691384.4600000009</v>
      </c>
    </row>
    <row r="12" spans="1:19" x14ac:dyDescent="0.35">
      <c r="A12" s="1" t="s">
        <v>5</v>
      </c>
      <c r="B12" s="3">
        <v>2018</v>
      </c>
      <c r="C12" s="6">
        <f>H2</f>
        <v>26.181058535891509</v>
      </c>
      <c r="E12" s="1">
        <v>2019</v>
      </c>
      <c r="F12" s="1">
        <v>20529976.460000001</v>
      </c>
      <c r="G12" s="1">
        <v>8645002.9499999993</v>
      </c>
      <c r="H12" s="1">
        <v>10546904.630000001</v>
      </c>
      <c r="I12" s="1">
        <v>8298154.6399999997</v>
      </c>
      <c r="J12" s="1">
        <v>19158574.370000001</v>
      </c>
      <c r="K12" s="1">
        <v>27488713.489999998</v>
      </c>
      <c r="L12" s="1">
        <v>14681419.84</v>
      </c>
      <c r="M12" s="1">
        <v>10205696.039999999</v>
      </c>
      <c r="N12" s="1">
        <v>6432288.9100000001</v>
      </c>
      <c r="O12" s="1">
        <v>5143748.58</v>
      </c>
      <c r="P12" s="1">
        <v>4133122.22</v>
      </c>
      <c r="Q12" s="1">
        <v>29105094.879999999</v>
      </c>
      <c r="R12" s="1">
        <v>38708215.950000003</v>
      </c>
      <c r="S12" s="1">
        <v>10228390.5</v>
      </c>
    </row>
    <row r="13" spans="1:19" x14ac:dyDescent="0.35">
      <c r="A13" s="1" t="s">
        <v>5</v>
      </c>
      <c r="B13" s="3">
        <v>2019</v>
      </c>
      <c r="C13" s="6">
        <f t="shared" ref="C13:C16" si="7">H3</f>
        <v>27.953259644054548</v>
      </c>
      <c r="E13" s="1">
        <v>2020</v>
      </c>
      <c r="F13" s="1">
        <v>20669991.120000001</v>
      </c>
      <c r="G13" s="1">
        <v>8672733.9600000009</v>
      </c>
      <c r="H13" s="1">
        <v>10739185.16</v>
      </c>
      <c r="I13" s="1">
        <v>8545286.3300000001</v>
      </c>
      <c r="J13" s="1">
        <v>19921366.780000001</v>
      </c>
      <c r="K13" s="1">
        <v>28105903.350000001</v>
      </c>
      <c r="L13" s="1">
        <v>14711073.810000001</v>
      </c>
      <c r="M13" s="1">
        <v>10273876.1</v>
      </c>
      <c r="N13" s="1">
        <v>6568785.0999999996</v>
      </c>
      <c r="O13" s="1">
        <v>5232208.59</v>
      </c>
      <c r="P13" s="1">
        <v>4206755.2699999996</v>
      </c>
      <c r="Q13" s="1">
        <v>28930519.420000002</v>
      </c>
      <c r="R13" s="1">
        <v>37648509.689999998</v>
      </c>
      <c r="S13" s="1">
        <v>10126224.98</v>
      </c>
    </row>
    <row r="14" spans="1:19" x14ac:dyDescent="0.35">
      <c r="A14" s="1" t="s">
        <v>5</v>
      </c>
      <c r="B14" s="3">
        <v>2020</v>
      </c>
      <c r="C14" s="6">
        <f t="shared" si="7"/>
        <v>27.009343728779459</v>
      </c>
      <c r="E14" s="1">
        <v>2021</v>
      </c>
      <c r="F14" s="1">
        <v>22290194.079999998</v>
      </c>
      <c r="G14" s="1">
        <v>9318527.8300000001</v>
      </c>
      <c r="H14" s="1">
        <v>11614172.689999999</v>
      </c>
      <c r="I14" s="1">
        <v>9084515.8399999999</v>
      </c>
      <c r="J14" s="1">
        <v>21678774.370000001</v>
      </c>
      <c r="K14" s="1">
        <v>30911315.920000002</v>
      </c>
      <c r="L14" s="1">
        <v>15749078.859999999</v>
      </c>
      <c r="M14" s="1">
        <v>11071935.289999999</v>
      </c>
      <c r="N14" s="1">
        <v>7132689.9400000004</v>
      </c>
      <c r="O14" s="1">
        <v>5626604.4199999999</v>
      </c>
      <c r="P14" s="1">
        <v>4533731.24</v>
      </c>
      <c r="Q14" s="1">
        <v>31231417.059999999</v>
      </c>
      <c r="R14" s="1">
        <v>40200359.039999999</v>
      </c>
      <c r="S14" s="1">
        <v>10877846.699999999</v>
      </c>
    </row>
    <row r="15" spans="1:19" x14ac:dyDescent="0.35">
      <c r="A15" s="1" t="s">
        <v>5</v>
      </c>
      <c r="B15" s="3">
        <v>2021</v>
      </c>
      <c r="C15" s="6">
        <f t="shared" si="7"/>
        <v>28.955586694689394</v>
      </c>
      <c r="E15" s="1">
        <v>2022</v>
      </c>
      <c r="F15" s="1">
        <v>24415408.149999999</v>
      </c>
      <c r="G15" s="1">
        <v>10324506.41</v>
      </c>
      <c r="H15" s="1">
        <v>12775764.640000001</v>
      </c>
      <c r="I15" s="1">
        <v>9955619.8499999996</v>
      </c>
      <c r="J15" s="1">
        <v>23847058.940000001</v>
      </c>
      <c r="K15" s="1">
        <v>34315187</v>
      </c>
      <c r="L15" s="1">
        <v>17330129.010000002</v>
      </c>
      <c r="M15" s="1">
        <v>12187100.859999999</v>
      </c>
      <c r="N15" s="1">
        <v>7884125.7599999998</v>
      </c>
      <c r="O15" s="1">
        <v>6176540.8499999996</v>
      </c>
      <c r="P15" s="1">
        <v>4980741.54</v>
      </c>
      <c r="Q15" s="1">
        <v>35275464.640000001</v>
      </c>
      <c r="R15" s="1">
        <v>44320310.5</v>
      </c>
      <c r="S15" s="1">
        <v>11931618.93</v>
      </c>
    </row>
    <row r="16" spans="1:19" x14ac:dyDescent="0.35">
      <c r="A16" s="1" t="s">
        <v>5</v>
      </c>
      <c r="B16" s="3">
        <v>2022</v>
      </c>
      <c r="C16" s="6">
        <f t="shared" si="7"/>
        <v>31.514283910053383</v>
      </c>
    </row>
    <row r="17" spans="1:19" x14ac:dyDescent="0.35">
      <c r="A17" s="1" t="s">
        <v>16</v>
      </c>
      <c r="B17" s="3">
        <v>2018</v>
      </c>
      <c r="C17" s="6">
        <f>I2</f>
        <v>29.10024179197012</v>
      </c>
      <c r="E17" s="4" t="s">
        <v>24</v>
      </c>
    </row>
    <row r="18" spans="1:19" x14ac:dyDescent="0.35">
      <c r="A18" s="1" t="s">
        <v>16</v>
      </c>
      <c r="B18" s="3">
        <v>2019</v>
      </c>
      <c r="C18" s="6">
        <f t="shared" ref="C18:C21" si="8">I3</f>
        <v>31.405637770839245</v>
      </c>
      <c r="E18" s="1" t="s">
        <v>1</v>
      </c>
      <c r="F18" s="1" t="s">
        <v>3</v>
      </c>
      <c r="G18" s="1" t="s">
        <v>4</v>
      </c>
      <c r="H18" s="1" t="s">
        <v>5</v>
      </c>
      <c r="I18" s="1" t="s">
        <v>16</v>
      </c>
      <c r="J18" s="1" t="s">
        <v>6</v>
      </c>
      <c r="K18" s="1" t="s">
        <v>7</v>
      </c>
      <c r="L18" s="1" t="s">
        <v>8</v>
      </c>
      <c r="M18" s="1" t="s">
        <v>9</v>
      </c>
      <c r="N18" s="1" t="s">
        <v>10</v>
      </c>
      <c r="O18" s="1" t="s">
        <v>11</v>
      </c>
      <c r="P18" s="1" t="s">
        <v>13</v>
      </c>
      <c r="Q18" s="1" t="s">
        <v>12</v>
      </c>
      <c r="R18" s="1" t="s">
        <v>14</v>
      </c>
      <c r="S18" s="1" t="s">
        <v>15</v>
      </c>
    </row>
    <row r="19" spans="1:19" x14ac:dyDescent="0.35">
      <c r="A19" s="1" t="s">
        <v>16</v>
      </c>
      <c r="B19" s="3">
        <v>2020</v>
      </c>
      <c r="C19" s="6">
        <f t="shared" si="8"/>
        <v>28.336935701021357</v>
      </c>
      <c r="E19" s="1">
        <v>2018</v>
      </c>
      <c r="F19" s="1">
        <v>532609</v>
      </c>
      <c r="G19" s="1">
        <v>251320</v>
      </c>
      <c r="H19" s="1">
        <v>372609</v>
      </c>
      <c r="I19" s="1">
        <v>261299</v>
      </c>
      <c r="J19" s="1">
        <v>463995</v>
      </c>
      <c r="K19" s="1">
        <v>504008</v>
      </c>
      <c r="L19" s="1">
        <v>413369</v>
      </c>
      <c r="M19" s="1">
        <v>258984</v>
      </c>
      <c r="N19" s="1">
        <v>199576</v>
      </c>
      <c r="O19" s="1">
        <v>205298</v>
      </c>
      <c r="P19" s="1">
        <v>110899</v>
      </c>
      <c r="Q19" s="1">
        <v>570914</v>
      </c>
      <c r="R19" s="1">
        <v>637723</v>
      </c>
      <c r="S19" s="1">
        <v>219061</v>
      </c>
    </row>
    <row r="20" spans="1:19" x14ac:dyDescent="0.35">
      <c r="A20" s="1" t="s">
        <v>16</v>
      </c>
      <c r="B20" s="3">
        <v>2021</v>
      </c>
      <c r="C20" s="6">
        <f t="shared" si="8"/>
        <v>29.719719569605427</v>
      </c>
      <c r="E20" s="1">
        <v>2019</v>
      </c>
      <c r="F20" s="1">
        <v>535725</v>
      </c>
      <c r="G20" s="1">
        <v>255261</v>
      </c>
      <c r="H20" s="1">
        <v>377305</v>
      </c>
      <c r="I20" s="1">
        <v>264225</v>
      </c>
      <c r="J20" s="1">
        <v>470224</v>
      </c>
      <c r="K20" s="1">
        <v>512783</v>
      </c>
      <c r="L20" s="1">
        <v>418785</v>
      </c>
      <c r="M20" s="1">
        <v>263207</v>
      </c>
      <c r="N20" s="1">
        <v>201578</v>
      </c>
      <c r="O20" s="1">
        <v>208417</v>
      </c>
      <c r="P20" s="1">
        <v>112715</v>
      </c>
      <c r="Q20" s="1">
        <v>579331</v>
      </c>
      <c r="R20" s="1">
        <v>646661</v>
      </c>
      <c r="S20" s="1">
        <v>222910</v>
      </c>
    </row>
    <row r="21" spans="1:19" x14ac:dyDescent="0.35">
      <c r="A21" s="1" t="s">
        <v>16</v>
      </c>
      <c r="B21" s="3">
        <v>2022</v>
      </c>
      <c r="C21" s="6">
        <f t="shared" si="8"/>
        <v>32.019155139309227</v>
      </c>
      <c r="E21" s="1">
        <v>2020</v>
      </c>
      <c r="F21" s="1">
        <v>629905</v>
      </c>
      <c r="G21" s="1">
        <v>286366</v>
      </c>
      <c r="H21" s="1">
        <v>397610</v>
      </c>
      <c r="I21" s="1">
        <v>301560</v>
      </c>
      <c r="J21" s="1">
        <v>484836</v>
      </c>
      <c r="K21" s="1">
        <v>570657</v>
      </c>
      <c r="L21" s="1">
        <v>421306</v>
      </c>
      <c r="M21" s="1">
        <v>252609</v>
      </c>
      <c r="N21" s="1">
        <v>211559</v>
      </c>
      <c r="O21" s="1">
        <v>228270</v>
      </c>
      <c r="P21" s="1">
        <v>126571</v>
      </c>
      <c r="Q21" s="1">
        <v>609392</v>
      </c>
      <c r="R21" s="1">
        <v>658685</v>
      </c>
      <c r="S21" s="1">
        <v>235064</v>
      </c>
    </row>
    <row r="22" spans="1:19" x14ac:dyDescent="0.35">
      <c r="A22" s="1" t="s">
        <v>6</v>
      </c>
      <c r="B22" s="3">
        <v>2018</v>
      </c>
      <c r="C22" s="6">
        <f>J2</f>
        <v>39.05034235282708</v>
      </c>
      <c r="E22" s="1">
        <v>2021</v>
      </c>
      <c r="F22" s="1">
        <v>637811</v>
      </c>
      <c r="G22" s="1">
        <v>290943</v>
      </c>
      <c r="H22" s="1">
        <v>401103</v>
      </c>
      <c r="I22" s="1">
        <v>305673</v>
      </c>
      <c r="J22" s="1">
        <v>488527</v>
      </c>
      <c r="K22" s="1">
        <v>579927</v>
      </c>
      <c r="L22" s="1">
        <v>423674</v>
      </c>
      <c r="M22" s="1">
        <v>253740</v>
      </c>
      <c r="N22" s="1">
        <v>212878</v>
      </c>
      <c r="O22" s="1">
        <v>231242</v>
      </c>
      <c r="P22" s="1">
        <v>128550</v>
      </c>
      <c r="Q22" s="1">
        <v>615125</v>
      </c>
      <c r="R22" s="1">
        <v>663713</v>
      </c>
      <c r="S22" s="1">
        <v>237891</v>
      </c>
    </row>
    <row r="23" spans="1:19" x14ac:dyDescent="0.35">
      <c r="A23" s="1" t="s">
        <v>6</v>
      </c>
      <c r="B23" s="3">
        <v>2019</v>
      </c>
      <c r="C23" s="6">
        <f t="shared" ref="C23:C26" si="9">J3</f>
        <v>40.743506009901665</v>
      </c>
      <c r="E23" s="1">
        <v>2022</v>
      </c>
      <c r="F23" s="1">
        <v>647844</v>
      </c>
      <c r="G23" s="1">
        <v>296855</v>
      </c>
      <c r="H23" s="1">
        <v>405396</v>
      </c>
      <c r="I23" s="1">
        <v>310927</v>
      </c>
      <c r="J23" s="1">
        <v>492989</v>
      </c>
      <c r="K23" s="1">
        <v>591917</v>
      </c>
      <c r="L23" s="1">
        <v>426416</v>
      </c>
      <c r="M23" s="1">
        <v>254995</v>
      </c>
      <c r="N23" s="1">
        <v>214429</v>
      </c>
      <c r="O23" s="1">
        <v>235025</v>
      </c>
      <c r="P23" s="1">
        <v>131104</v>
      </c>
      <c r="Q23" s="1">
        <v>622217</v>
      </c>
      <c r="R23" s="1">
        <v>669795</v>
      </c>
      <c r="S23" s="1">
        <v>241467</v>
      </c>
    </row>
    <row r="24" spans="1:19" x14ac:dyDescent="0.35">
      <c r="A24" s="1" t="s">
        <v>6</v>
      </c>
      <c r="B24" s="3">
        <v>2020</v>
      </c>
      <c r="C24" s="6">
        <f t="shared" si="9"/>
        <v>41.088877022333328</v>
      </c>
    </row>
    <row r="25" spans="1:19" x14ac:dyDescent="0.35">
      <c r="A25" s="1" t="s">
        <v>6</v>
      </c>
      <c r="B25" s="3">
        <v>2021</v>
      </c>
      <c r="C25" s="6">
        <f t="shared" si="9"/>
        <v>44.375795749262579</v>
      </c>
    </row>
    <row r="26" spans="1:19" x14ac:dyDescent="0.35">
      <c r="A26" s="1" t="s">
        <v>6</v>
      </c>
      <c r="B26" s="3">
        <v>2022</v>
      </c>
      <c r="C26" s="6">
        <f t="shared" si="9"/>
        <v>48.372395611261105</v>
      </c>
    </row>
    <row r="27" spans="1:19" x14ac:dyDescent="0.35">
      <c r="A27" s="1" t="s">
        <v>7</v>
      </c>
      <c r="B27" s="3">
        <v>2018</v>
      </c>
      <c r="C27" s="6">
        <f>K2</f>
        <v>49.602960389517627</v>
      </c>
    </row>
    <row r="28" spans="1:19" x14ac:dyDescent="0.35">
      <c r="A28" s="1" t="s">
        <v>7</v>
      </c>
      <c r="B28" s="3">
        <v>2019</v>
      </c>
      <c r="C28" s="6">
        <f t="shared" ref="C28:C31" si="10">K3</f>
        <v>53.606912651160428</v>
      </c>
    </row>
    <row r="29" spans="1:19" x14ac:dyDescent="0.35">
      <c r="A29" s="1" t="s">
        <v>7</v>
      </c>
      <c r="B29" s="3">
        <v>2020</v>
      </c>
      <c r="C29" s="6">
        <f t="shared" si="10"/>
        <v>49.251833150211077</v>
      </c>
    </row>
    <row r="30" spans="1:19" x14ac:dyDescent="0.35">
      <c r="A30" s="1" t="s">
        <v>7</v>
      </c>
      <c r="B30" s="3">
        <v>2021</v>
      </c>
      <c r="C30" s="6">
        <f t="shared" si="10"/>
        <v>53.302080986055145</v>
      </c>
    </row>
    <row r="31" spans="1:19" x14ac:dyDescent="0.35">
      <c r="A31" s="1" t="s">
        <v>7</v>
      </c>
      <c r="B31" s="3">
        <v>2022</v>
      </c>
      <c r="C31" s="6">
        <f t="shared" si="10"/>
        <v>57.972970872605451</v>
      </c>
    </row>
    <row r="32" spans="1:19" x14ac:dyDescent="0.35">
      <c r="A32" s="1" t="s">
        <v>8</v>
      </c>
      <c r="B32" s="3">
        <v>2018</v>
      </c>
      <c r="C32" s="6">
        <f>L2</f>
        <v>32.393864779410166</v>
      </c>
    </row>
    <row r="33" spans="1:3" x14ac:dyDescent="0.35">
      <c r="A33" s="1" t="s">
        <v>8</v>
      </c>
      <c r="B33" s="3">
        <v>2019</v>
      </c>
      <c r="C33" s="6">
        <f t="shared" ref="C33:C36" si="11">L3</f>
        <v>35.057176928495529</v>
      </c>
    </row>
    <row r="34" spans="1:3" x14ac:dyDescent="0.35">
      <c r="A34" s="1" t="s">
        <v>8</v>
      </c>
      <c r="B34" s="3">
        <v>2020</v>
      </c>
      <c r="C34" s="6">
        <f t="shared" si="11"/>
        <v>34.917788519508385</v>
      </c>
    </row>
    <row r="35" spans="1:3" x14ac:dyDescent="0.35">
      <c r="A35" s="1" t="s">
        <v>8</v>
      </c>
      <c r="B35" s="3">
        <v>2021</v>
      </c>
      <c r="C35" s="6">
        <f t="shared" si="11"/>
        <v>37.172634761632764</v>
      </c>
    </row>
    <row r="36" spans="1:3" x14ac:dyDescent="0.35">
      <c r="A36" s="1" t="s">
        <v>8</v>
      </c>
      <c r="B36" s="3">
        <v>2022</v>
      </c>
      <c r="C36" s="6">
        <f t="shared" si="11"/>
        <v>40.641366670106194</v>
      </c>
    </row>
    <row r="37" spans="1:3" x14ac:dyDescent="0.35">
      <c r="A37" s="1" t="s">
        <v>9</v>
      </c>
      <c r="B37" s="3">
        <v>2018</v>
      </c>
      <c r="C37" s="6">
        <f>M2</f>
        <v>36.400678536125781</v>
      </c>
    </row>
    <row r="38" spans="1:3" x14ac:dyDescent="0.35">
      <c r="A38" s="1" t="s">
        <v>9</v>
      </c>
      <c r="B38" s="3">
        <v>2019</v>
      </c>
      <c r="C38" s="6">
        <f t="shared" ref="C38:C41" si="12">M3</f>
        <v>38.774409647159835</v>
      </c>
    </row>
    <row r="39" spans="1:3" x14ac:dyDescent="0.35">
      <c r="A39" s="1" t="s">
        <v>9</v>
      </c>
      <c r="B39" s="3">
        <v>2020</v>
      </c>
      <c r="C39" s="6">
        <f t="shared" si="12"/>
        <v>40.671061205261886</v>
      </c>
    </row>
    <row r="40" spans="1:3" x14ac:dyDescent="0.35">
      <c r="A40" s="1" t="s">
        <v>9</v>
      </c>
      <c r="B40" s="3">
        <v>2021</v>
      </c>
      <c r="C40" s="6">
        <f t="shared" si="12"/>
        <v>43.634962126586267</v>
      </c>
    </row>
    <row r="41" spans="1:3" x14ac:dyDescent="0.35">
      <c r="A41" s="1" t="s">
        <v>9</v>
      </c>
      <c r="B41" s="3">
        <v>2022</v>
      </c>
      <c r="C41" s="6">
        <f t="shared" si="12"/>
        <v>47.793489519402335</v>
      </c>
    </row>
    <row r="42" spans="1:3" x14ac:dyDescent="0.35">
      <c r="A42" s="1" t="s">
        <v>10</v>
      </c>
      <c r="B42" s="3">
        <v>2018</v>
      </c>
      <c r="C42" s="6">
        <f>N2</f>
        <v>29.346812642802742</v>
      </c>
    </row>
    <row r="43" spans="1:3" x14ac:dyDescent="0.35">
      <c r="A43" s="1" t="s">
        <v>10</v>
      </c>
      <c r="B43" s="3">
        <v>2019</v>
      </c>
      <c r="C43" s="6">
        <f t="shared" ref="C43:C46" si="13">N3</f>
        <v>31.909677196916331</v>
      </c>
    </row>
    <row r="44" spans="1:3" x14ac:dyDescent="0.35">
      <c r="A44" s="1" t="s">
        <v>10</v>
      </c>
      <c r="B44" s="3">
        <v>2020</v>
      </c>
      <c r="C44" s="6">
        <f t="shared" si="13"/>
        <v>31.049424037738881</v>
      </c>
    </row>
    <row r="45" spans="1:3" x14ac:dyDescent="0.35">
      <c r="A45" s="1" t="s">
        <v>10</v>
      </c>
      <c r="B45" s="3">
        <v>2021</v>
      </c>
      <c r="C45" s="6">
        <f t="shared" si="13"/>
        <v>33.505998459211384</v>
      </c>
    </row>
    <row r="46" spans="1:3" x14ac:dyDescent="0.35">
      <c r="A46" s="1" t="s">
        <v>10</v>
      </c>
      <c r="B46" s="3">
        <v>2022</v>
      </c>
      <c r="C46" s="6">
        <f t="shared" si="13"/>
        <v>36.768001343101915</v>
      </c>
    </row>
    <row r="47" spans="1:3" x14ac:dyDescent="0.35">
      <c r="A47" s="1" t="s">
        <v>11</v>
      </c>
      <c r="B47" s="3">
        <v>2018</v>
      </c>
      <c r="C47" s="6">
        <f>O2</f>
        <v>23.091158364913444</v>
      </c>
    </row>
    <row r="48" spans="1:3" x14ac:dyDescent="0.35">
      <c r="A48" s="1" t="s">
        <v>11</v>
      </c>
      <c r="B48" s="3">
        <v>2019</v>
      </c>
      <c r="C48" s="6">
        <f t="shared" ref="C48:C51" si="14">O3</f>
        <v>24.680081663204056</v>
      </c>
    </row>
    <row r="49" spans="1:3" x14ac:dyDescent="0.35">
      <c r="A49" s="1" t="s">
        <v>11</v>
      </c>
      <c r="B49" s="3">
        <v>2020</v>
      </c>
      <c r="C49" s="6">
        <f t="shared" si="14"/>
        <v>22.921139834406624</v>
      </c>
    </row>
    <row r="50" spans="1:3" x14ac:dyDescent="0.35">
      <c r="A50" s="1" t="s">
        <v>11</v>
      </c>
      <c r="B50" s="3">
        <v>2021</v>
      </c>
      <c r="C50" s="6">
        <f t="shared" si="14"/>
        <v>24.332104116034284</v>
      </c>
    </row>
    <row r="51" spans="1:3" x14ac:dyDescent="0.35">
      <c r="A51" s="1" t="s">
        <v>11</v>
      </c>
      <c r="B51" s="3">
        <v>2022</v>
      </c>
      <c r="C51" s="6">
        <f t="shared" si="14"/>
        <v>26.280356770556324</v>
      </c>
    </row>
    <row r="52" spans="1:3" x14ac:dyDescent="0.35">
      <c r="A52" s="1" t="s">
        <v>13</v>
      </c>
      <c r="B52" s="3">
        <v>2018</v>
      </c>
      <c r="C52" s="6">
        <f>P2</f>
        <v>34.232620222003803</v>
      </c>
    </row>
    <row r="53" spans="1:3" x14ac:dyDescent="0.35">
      <c r="A53" s="1" t="s">
        <v>13</v>
      </c>
      <c r="B53" s="3">
        <v>2019</v>
      </c>
      <c r="C53" s="6">
        <f t="shared" ref="C53:C56" si="15">P3</f>
        <v>36.668786053320325</v>
      </c>
    </row>
    <row r="54" spans="1:3" x14ac:dyDescent="0.35">
      <c r="A54" s="1" t="s">
        <v>13</v>
      </c>
      <c r="B54" s="3">
        <v>2020</v>
      </c>
      <c r="C54" s="6">
        <f t="shared" si="15"/>
        <v>33.236327989823891</v>
      </c>
    </row>
    <row r="55" spans="1:3" x14ac:dyDescent="0.35">
      <c r="A55" s="1" t="s">
        <v>13</v>
      </c>
      <c r="B55" s="3">
        <v>2021</v>
      </c>
      <c r="C55" s="6">
        <f t="shared" si="15"/>
        <v>35.268232127576823</v>
      </c>
    </row>
    <row r="56" spans="1:3" x14ac:dyDescent="0.35">
      <c r="A56" s="1" t="s">
        <v>13</v>
      </c>
      <c r="B56" s="3">
        <v>2022</v>
      </c>
      <c r="C56" s="6">
        <f t="shared" si="15"/>
        <v>37.990767177202834</v>
      </c>
    </row>
    <row r="57" spans="1:3" x14ac:dyDescent="0.35">
      <c r="A57" s="1" t="s">
        <v>12</v>
      </c>
      <c r="B57" s="3">
        <v>2018</v>
      </c>
      <c r="C57" s="6">
        <f>Q2</f>
        <v>46.142802173357111</v>
      </c>
    </row>
    <row r="58" spans="1:3" x14ac:dyDescent="0.35">
      <c r="A58" s="1" t="s">
        <v>12</v>
      </c>
      <c r="B58" s="3">
        <v>2019</v>
      </c>
      <c r="C58" s="6">
        <f t="shared" ref="C58:C61" si="16">Q3</f>
        <v>50.239146325675648</v>
      </c>
    </row>
    <row r="59" spans="1:3" x14ac:dyDescent="0.35">
      <c r="A59" s="1" t="s">
        <v>12</v>
      </c>
      <c r="B59" s="3">
        <v>2020</v>
      </c>
      <c r="C59" s="6">
        <f t="shared" si="16"/>
        <v>47.47439976238612</v>
      </c>
    </row>
    <row r="60" spans="1:3" x14ac:dyDescent="0.35">
      <c r="A60" s="1" t="s">
        <v>12</v>
      </c>
      <c r="B60" s="3">
        <v>2021</v>
      </c>
      <c r="C60" s="6">
        <f t="shared" si="16"/>
        <v>50.77247235927657</v>
      </c>
    </row>
    <row r="61" spans="1:3" x14ac:dyDescent="0.35">
      <c r="A61" s="1" t="s">
        <v>12</v>
      </c>
      <c r="B61" s="3">
        <v>2022</v>
      </c>
      <c r="C61" s="6">
        <f t="shared" si="16"/>
        <v>56.693186846389608</v>
      </c>
    </row>
    <row r="62" spans="1:3" x14ac:dyDescent="0.35">
      <c r="A62" s="1" t="s">
        <v>14</v>
      </c>
      <c r="B62" s="3">
        <v>2018</v>
      </c>
      <c r="C62" s="6">
        <f>R2</f>
        <v>56.568916206566179</v>
      </c>
    </row>
    <row r="63" spans="1:3" x14ac:dyDescent="0.35">
      <c r="A63" s="1" t="s">
        <v>14</v>
      </c>
      <c r="B63" s="3">
        <v>2019</v>
      </c>
      <c r="C63" s="6">
        <f t="shared" ref="C63:C66" si="17">R3</f>
        <v>59.858590436101764</v>
      </c>
    </row>
    <row r="64" spans="1:3" x14ac:dyDescent="0.35">
      <c r="A64" s="1" t="s">
        <v>14</v>
      </c>
      <c r="B64" s="3">
        <v>2020</v>
      </c>
      <c r="C64" s="6">
        <f t="shared" si="17"/>
        <v>57.157077647130265</v>
      </c>
    </row>
    <row r="65" spans="1:3" x14ac:dyDescent="0.35">
      <c r="A65" s="1" t="s">
        <v>14</v>
      </c>
      <c r="B65" s="3">
        <v>2021</v>
      </c>
      <c r="C65" s="6">
        <f t="shared" si="17"/>
        <v>60.568889022815583</v>
      </c>
    </row>
    <row r="66" spans="1:3" x14ac:dyDescent="0.35">
      <c r="A66" s="1" t="s">
        <v>14</v>
      </c>
      <c r="B66" s="3">
        <v>2022</v>
      </c>
      <c r="C66" s="6">
        <f t="shared" si="17"/>
        <v>66.169963197694813</v>
      </c>
    </row>
    <row r="67" spans="1:3" x14ac:dyDescent="0.35">
      <c r="A67" s="1" t="s">
        <v>15</v>
      </c>
      <c r="B67" s="3">
        <v>2018</v>
      </c>
      <c r="C67" s="6">
        <f>S2</f>
        <v>44.240574360566242</v>
      </c>
    </row>
    <row r="68" spans="1:3" x14ac:dyDescent="0.35">
      <c r="A68" s="1" t="s">
        <v>15</v>
      </c>
      <c r="B68" s="3">
        <v>2019</v>
      </c>
      <c r="C68" s="6">
        <f t="shared" ref="C68:C71" si="18">S3</f>
        <v>45.8857408819703</v>
      </c>
    </row>
    <row r="69" spans="1:3" x14ac:dyDescent="0.35">
      <c r="A69" s="1" t="s">
        <v>15</v>
      </c>
      <c r="B69" s="3">
        <v>2020</v>
      </c>
      <c r="C69" s="6">
        <f t="shared" si="18"/>
        <v>43.078587023108604</v>
      </c>
    </row>
    <row r="70" spans="1:3" x14ac:dyDescent="0.35">
      <c r="A70" s="1" t="s">
        <v>15</v>
      </c>
      <c r="B70" s="3">
        <v>2021</v>
      </c>
      <c r="C70" s="6">
        <f t="shared" si="18"/>
        <v>45.72618005725311</v>
      </c>
    </row>
    <row r="71" spans="1:3" x14ac:dyDescent="0.35">
      <c r="A71" s="1" t="s">
        <v>15</v>
      </c>
      <c r="B71" s="3">
        <v>2022</v>
      </c>
      <c r="C71" s="6">
        <f t="shared" si="18"/>
        <v>49.413041657866295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FC54-96CF-47DB-BB63-8F2297D1C00B}">
  <dimension ref="A1:S71"/>
  <sheetViews>
    <sheetView topLeftCell="A48" workbookViewId="0">
      <selection activeCell="C2" sqref="C2:C71"/>
    </sheetView>
  </sheetViews>
  <sheetFormatPr defaultRowHeight="14.5" x14ac:dyDescent="0.35"/>
  <cols>
    <col min="1" max="1" width="15.1796875" bestFit="1" customWidth="1"/>
    <col min="2" max="2" width="6.08984375" bestFit="1" customWidth="1"/>
    <col min="3" max="3" width="10.36328125" customWidth="1"/>
    <col min="5" max="5" width="16.08984375" customWidth="1"/>
    <col min="6" max="6" width="7.26953125" bestFit="1" customWidth="1"/>
    <col min="7" max="7" width="10.7265625" bestFit="1" customWidth="1"/>
    <col min="8" max="8" width="6.7265625" bestFit="1" customWidth="1"/>
    <col min="9" max="9" width="10.81640625" bestFit="1" customWidth="1"/>
    <col min="10" max="10" width="7.7265625" bestFit="1" customWidth="1"/>
    <col min="11" max="11" width="8.54296875" bestFit="1" customWidth="1"/>
    <col min="12" max="12" width="6.90625" bestFit="1" customWidth="1"/>
    <col min="13" max="13" width="11.1796875" bestFit="1" customWidth="1"/>
    <col min="14" max="14" width="7.81640625" bestFit="1" customWidth="1"/>
    <col min="15" max="15" width="6.90625" bestFit="1" customWidth="1"/>
    <col min="16" max="16" width="11.90625" bestFit="1" customWidth="1"/>
    <col min="17" max="17" width="9.54296875" bestFit="1" customWidth="1"/>
    <col min="18" max="18" width="13.36328125" bestFit="1" customWidth="1"/>
    <col min="19" max="20" width="14.81640625" bestFit="1" customWidth="1"/>
  </cols>
  <sheetData>
    <row r="1" spans="1:19" x14ac:dyDescent="0.35">
      <c r="A1" s="2" t="s">
        <v>0</v>
      </c>
      <c r="B1" s="2" t="s">
        <v>1</v>
      </c>
      <c r="C1" s="2" t="s">
        <v>18</v>
      </c>
      <c r="E1" s="2" t="s">
        <v>1</v>
      </c>
      <c r="F1" s="3" t="s">
        <v>3</v>
      </c>
      <c r="G1" s="3" t="s">
        <v>4</v>
      </c>
      <c r="H1" s="3" t="s">
        <v>5</v>
      </c>
      <c r="I1" s="3" t="s">
        <v>16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13</v>
      </c>
      <c r="Q1" s="3" t="s">
        <v>12</v>
      </c>
      <c r="R1" s="3" t="s">
        <v>14</v>
      </c>
      <c r="S1" s="3" t="s">
        <v>15</v>
      </c>
    </row>
    <row r="2" spans="1:19" x14ac:dyDescent="0.35">
      <c r="A2" s="1" t="s">
        <v>3</v>
      </c>
      <c r="B2" s="3">
        <v>2018</v>
      </c>
      <c r="C2" s="6">
        <f>F2</f>
        <v>56.952994462829643</v>
      </c>
      <c r="E2" s="3">
        <v>2018</v>
      </c>
      <c r="F2" s="13">
        <v>56.952994462829643</v>
      </c>
      <c r="G2" s="13">
        <v>54.281539868751416</v>
      </c>
      <c r="H2" s="13">
        <v>51.54469362356329</v>
      </c>
      <c r="I2" s="13">
        <v>53.281515809233291</v>
      </c>
      <c r="J2" s="13">
        <v>46.781836817330571</v>
      </c>
      <c r="K2" s="13">
        <v>49.05481817966735</v>
      </c>
      <c r="L2" s="13">
        <v>50.763355994514633</v>
      </c>
      <c r="M2" s="13">
        <v>48.363036417069104</v>
      </c>
      <c r="N2" s="13">
        <v>49.457067113993439</v>
      </c>
      <c r="O2" s="13">
        <v>47.550974938370096</v>
      </c>
      <c r="P2" s="13">
        <v>53.669959953995594</v>
      </c>
      <c r="Q2" s="13">
        <v>51.089010389926592</v>
      </c>
      <c r="R2" s="13">
        <v>43.485558588010825</v>
      </c>
      <c r="S2" s="13">
        <v>53.714073200853264</v>
      </c>
    </row>
    <row r="3" spans="1:19" x14ac:dyDescent="0.35">
      <c r="A3" s="1" t="s">
        <v>3</v>
      </c>
      <c r="B3" s="3">
        <v>2019</v>
      </c>
      <c r="C3" s="6">
        <f t="shared" ref="C3:C6" si="0">F3</f>
        <v>56.77</v>
      </c>
      <c r="E3" s="3">
        <v>2019</v>
      </c>
      <c r="F3" s="13">
        <v>56.77</v>
      </c>
      <c r="G3" s="13">
        <v>55.42</v>
      </c>
      <c r="H3" s="13">
        <v>56.2</v>
      </c>
      <c r="I3" s="13">
        <v>52.12</v>
      </c>
      <c r="J3" s="13">
        <v>46.49</v>
      </c>
      <c r="K3" s="13">
        <v>45.78</v>
      </c>
      <c r="L3" s="13">
        <v>50.43</v>
      </c>
      <c r="M3" s="13">
        <v>47.53</v>
      </c>
      <c r="N3" s="13">
        <v>48.88</v>
      </c>
      <c r="O3" s="13">
        <v>47.33</v>
      </c>
      <c r="P3" s="13">
        <v>54.22</v>
      </c>
      <c r="Q3" s="13">
        <v>50.94</v>
      </c>
      <c r="R3" s="13">
        <v>43.41</v>
      </c>
      <c r="S3" s="13">
        <v>53.61</v>
      </c>
    </row>
    <row r="4" spans="1:19" x14ac:dyDescent="0.35">
      <c r="A4" s="1" t="s">
        <v>3</v>
      </c>
      <c r="B4" s="3">
        <v>2020</v>
      </c>
      <c r="C4" s="6">
        <f t="shared" si="0"/>
        <v>48.34</v>
      </c>
      <c r="E4" s="3">
        <v>2020</v>
      </c>
      <c r="F4" s="13">
        <v>48.34</v>
      </c>
      <c r="G4" s="13">
        <v>46.28</v>
      </c>
      <c r="H4" s="13">
        <v>45.25</v>
      </c>
      <c r="I4" s="13">
        <v>45.49</v>
      </c>
      <c r="J4" s="13">
        <v>41.73</v>
      </c>
      <c r="K4" s="13">
        <v>40.85</v>
      </c>
      <c r="L4" s="13">
        <v>46.37</v>
      </c>
      <c r="M4" s="13">
        <v>44.6</v>
      </c>
      <c r="N4" s="13">
        <v>44.25</v>
      </c>
      <c r="O4" s="13">
        <v>40.08</v>
      </c>
      <c r="P4" s="13">
        <v>45.42</v>
      </c>
      <c r="Q4" s="13">
        <v>45.74</v>
      </c>
      <c r="R4" s="13">
        <v>45.01</v>
      </c>
      <c r="S4" s="13">
        <v>49.53</v>
      </c>
    </row>
    <row r="5" spans="1:19" x14ac:dyDescent="0.35">
      <c r="A5" s="1" t="s">
        <v>3</v>
      </c>
      <c r="B5" s="3">
        <v>2021</v>
      </c>
      <c r="C5" s="6">
        <f t="shared" si="0"/>
        <v>48.19</v>
      </c>
      <c r="E5" s="3">
        <v>2021</v>
      </c>
      <c r="F5" s="13">
        <v>48.19</v>
      </c>
      <c r="G5" s="13">
        <v>46.11</v>
      </c>
      <c r="H5" s="13">
        <v>45.08</v>
      </c>
      <c r="I5" s="13">
        <v>45.43</v>
      </c>
      <c r="J5" s="13">
        <v>41.54</v>
      </c>
      <c r="K5" s="13">
        <v>40.67</v>
      </c>
      <c r="L5" s="13">
        <v>46.19</v>
      </c>
      <c r="M5" s="13">
        <v>44.36</v>
      </c>
      <c r="N5" s="13">
        <v>44.09</v>
      </c>
      <c r="O5" s="13">
        <v>39.700000000000003</v>
      </c>
      <c r="P5" s="13">
        <v>45.24</v>
      </c>
      <c r="Q5" s="13">
        <v>45.56</v>
      </c>
      <c r="R5" s="13">
        <v>44.89</v>
      </c>
      <c r="S5" s="13">
        <v>49.39</v>
      </c>
    </row>
    <row r="6" spans="1:19" x14ac:dyDescent="0.35">
      <c r="A6" s="1" t="s">
        <v>3</v>
      </c>
      <c r="B6" s="3">
        <v>2022</v>
      </c>
      <c r="C6" s="6">
        <f t="shared" si="0"/>
        <v>48.07</v>
      </c>
      <c r="E6" s="3">
        <v>2022</v>
      </c>
      <c r="F6" s="13">
        <v>48.07</v>
      </c>
      <c r="G6" s="13">
        <v>45.97</v>
      </c>
      <c r="H6" s="13">
        <v>44.93</v>
      </c>
      <c r="I6" s="13">
        <v>45.39</v>
      </c>
      <c r="J6" s="13">
        <v>41.39</v>
      </c>
      <c r="K6" s="13">
        <v>40.520000000000003</v>
      </c>
      <c r="L6" s="13">
        <v>46.03</v>
      </c>
      <c r="M6" s="13">
        <v>44.16</v>
      </c>
      <c r="N6" s="13">
        <v>43.96</v>
      </c>
      <c r="O6" s="13">
        <v>39.56</v>
      </c>
      <c r="P6" s="13">
        <v>45.1</v>
      </c>
      <c r="Q6" s="13">
        <v>45.41</v>
      </c>
      <c r="R6" s="13">
        <v>44.79</v>
      </c>
      <c r="S6" s="13">
        <v>49.29</v>
      </c>
    </row>
    <row r="7" spans="1:19" x14ac:dyDescent="0.35">
      <c r="A7" s="1" t="s">
        <v>4</v>
      </c>
      <c r="B7" s="3">
        <v>2018</v>
      </c>
      <c r="C7" s="6">
        <f>G2</f>
        <v>54.281539868751416</v>
      </c>
    </row>
    <row r="8" spans="1:19" x14ac:dyDescent="0.35">
      <c r="A8" s="1" t="s">
        <v>4</v>
      </c>
      <c r="B8" s="3">
        <v>2019</v>
      </c>
      <c r="C8" s="6">
        <f t="shared" ref="C8:C11" si="1">G3</f>
        <v>55.42</v>
      </c>
      <c r="E8" s="12" t="s">
        <v>40</v>
      </c>
      <c r="F8" s="3">
        <v>2018</v>
      </c>
      <c r="G8" s="3">
        <v>2019</v>
      </c>
      <c r="H8" s="3">
        <v>2020</v>
      </c>
      <c r="I8" s="3">
        <v>2021</v>
      </c>
      <c r="J8" s="3">
        <v>2022</v>
      </c>
    </row>
    <row r="9" spans="1:19" x14ac:dyDescent="0.35">
      <c r="A9" s="1" t="s">
        <v>4</v>
      </c>
      <c r="B9" s="3">
        <v>2020</v>
      </c>
      <c r="C9" s="6">
        <f t="shared" si="1"/>
        <v>46.28</v>
      </c>
      <c r="E9" s="12" t="s">
        <v>3</v>
      </c>
      <c r="F9" s="8">
        <v>91.660599590000004</v>
      </c>
      <c r="G9" s="8">
        <v>93.003724120000001</v>
      </c>
      <c r="H9" s="8">
        <v>91.614999999999995</v>
      </c>
      <c r="I9" s="9">
        <v>94.31</v>
      </c>
      <c r="J9" s="10">
        <v>93.61</v>
      </c>
    </row>
    <row r="10" spans="1:19" x14ac:dyDescent="0.35">
      <c r="A10" s="1" t="s">
        <v>4</v>
      </c>
      <c r="B10" s="3">
        <v>2021</v>
      </c>
      <c r="C10" s="6">
        <f t="shared" si="1"/>
        <v>46.11</v>
      </c>
      <c r="E10" s="12" t="s">
        <v>4</v>
      </c>
      <c r="F10" s="8">
        <v>90.616516689999997</v>
      </c>
      <c r="G10" s="8">
        <v>93.123717920000004</v>
      </c>
      <c r="H10" s="8">
        <v>93.88</v>
      </c>
      <c r="I10" s="9">
        <v>92.93</v>
      </c>
      <c r="J10" s="10">
        <v>94.74</v>
      </c>
    </row>
    <row r="11" spans="1:19" x14ac:dyDescent="0.35">
      <c r="A11" s="1" t="s">
        <v>4</v>
      </c>
      <c r="B11" s="3">
        <v>2022</v>
      </c>
      <c r="C11" s="6">
        <f t="shared" si="1"/>
        <v>45.97</v>
      </c>
      <c r="E11" s="12" t="s">
        <v>5</v>
      </c>
      <c r="F11" s="8">
        <v>92.690220530000005</v>
      </c>
      <c r="G11" s="8">
        <v>93.629983039999999</v>
      </c>
      <c r="H11" s="8">
        <v>92.635999999999996</v>
      </c>
      <c r="I11" s="9">
        <v>92.93</v>
      </c>
      <c r="J11" s="10">
        <v>93.04</v>
      </c>
    </row>
    <row r="12" spans="1:19" x14ac:dyDescent="0.35">
      <c r="A12" s="1" t="s">
        <v>5</v>
      </c>
      <c r="B12" s="3">
        <v>2018</v>
      </c>
      <c r="C12" s="6">
        <f>H2</f>
        <v>51.54469362356329</v>
      </c>
      <c r="E12" s="12" t="s">
        <v>16</v>
      </c>
      <c r="F12" s="8">
        <v>92.274451819999996</v>
      </c>
      <c r="G12" s="8">
        <v>91.669871380000004</v>
      </c>
      <c r="H12" s="8">
        <v>93.566999999999993</v>
      </c>
      <c r="I12" s="9">
        <v>92.48</v>
      </c>
      <c r="J12" s="10">
        <v>92.74</v>
      </c>
    </row>
    <row r="13" spans="1:19" x14ac:dyDescent="0.35">
      <c r="A13" s="1" t="s">
        <v>5</v>
      </c>
      <c r="B13" s="3">
        <v>2019</v>
      </c>
      <c r="C13" s="6">
        <f t="shared" ref="C13:C16" si="2">H3</f>
        <v>56.2</v>
      </c>
      <c r="E13" s="12" t="s">
        <v>6</v>
      </c>
      <c r="F13" s="8">
        <v>91.654508579999998</v>
      </c>
      <c r="G13" s="8">
        <v>91.634140450000004</v>
      </c>
      <c r="H13" s="8">
        <v>94.986999999999995</v>
      </c>
      <c r="I13" s="9">
        <v>93.34</v>
      </c>
      <c r="J13" s="10">
        <v>93.34</v>
      </c>
    </row>
    <row r="14" spans="1:19" x14ac:dyDescent="0.35">
      <c r="A14" s="1" t="s">
        <v>5</v>
      </c>
      <c r="B14" s="3">
        <v>2020</v>
      </c>
      <c r="C14" s="6">
        <f t="shared" si="2"/>
        <v>45.25</v>
      </c>
      <c r="E14" s="12" t="s">
        <v>7</v>
      </c>
      <c r="F14" s="8">
        <v>93.244687470000002</v>
      </c>
      <c r="G14" s="8">
        <v>95.159381589999995</v>
      </c>
      <c r="H14" s="8">
        <v>95.406999999999996</v>
      </c>
      <c r="I14" s="9">
        <v>94.08</v>
      </c>
      <c r="J14" s="10">
        <v>95.52</v>
      </c>
    </row>
    <row r="15" spans="1:19" x14ac:dyDescent="0.35">
      <c r="A15" s="1" t="s">
        <v>5</v>
      </c>
      <c r="B15" s="3">
        <v>2021</v>
      </c>
      <c r="C15" s="6">
        <f t="shared" si="2"/>
        <v>45.08</v>
      </c>
      <c r="E15" s="12" t="s">
        <v>8</v>
      </c>
      <c r="F15" s="8">
        <v>91.582428879999995</v>
      </c>
      <c r="G15" s="8">
        <v>93.437004540000004</v>
      </c>
      <c r="H15" s="8">
        <v>92.819000000000003</v>
      </c>
      <c r="I15" s="9">
        <v>89.98</v>
      </c>
      <c r="J15" s="10">
        <v>92.18</v>
      </c>
    </row>
    <row r="16" spans="1:19" x14ac:dyDescent="0.35">
      <c r="A16" s="1" t="s">
        <v>5</v>
      </c>
      <c r="B16" s="3">
        <v>2022</v>
      </c>
      <c r="C16" s="6">
        <f t="shared" si="2"/>
        <v>44.93</v>
      </c>
      <c r="E16" s="12" t="s">
        <v>9</v>
      </c>
      <c r="F16" s="8">
        <v>93.528701530000006</v>
      </c>
      <c r="G16" s="8">
        <v>94.628406760000004</v>
      </c>
      <c r="H16" s="8">
        <v>93.7</v>
      </c>
      <c r="I16" s="9">
        <v>93.13</v>
      </c>
      <c r="J16" s="10">
        <v>93.31</v>
      </c>
    </row>
    <row r="17" spans="1:10" x14ac:dyDescent="0.35">
      <c r="A17" s="1" t="s">
        <v>16</v>
      </c>
      <c r="B17" s="3">
        <v>2018</v>
      </c>
      <c r="C17" s="6">
        <f>I2</f>
        <v>53.281515809233291</v>
      </c>
      <c r="E17" s="12" t="s">
        <v>10</v>
      </c>
      <c r="F17" s="8">
        <v>92.196001999999993</v>
      </c>
      <c r="G17" s="8">
        <v>91.920853370000003</v>
      </c>
      <c r="H17" s="8">
        <v>93.048000000000002</v>
      </c>
      <c r="I17" s="9">
        <v>93.36</v>
      </c>
      <c r="J17" s="10">
        <v>93.92</v>
      </c>
    </row>
    <row r="18" spans="1:10" x14ac:dyDescent="0.35">
      <c r="A18" s="1" t="s">
        <v>16</v>
      </c>
      <c r="B18" s="3">
        <v>2019</v>
      </c>
      <c r="C18" s="6">
        <f t="shared" ref="C18:C21" si="3">I3</f>
        <v>52.12</v>
      </c>
      <c r="E18" s="12" t="s">
        <v>11</v>
      </c>
      <c r="F18" s="8">
        <v>91.883740059999994</v>
      </c>
      <c r="G18" s="8">
        <v>91.134128860000004</v>
      </c>
      <c r="H18" s="8">
        <v>91.138999999999996</v>
      </c>
      <c r="I18" s="9">
        <v>93.08</v>
      </c>
      <c r="J18" s="10">
        <v>90.68</v>
      </c>
    </row>
    <row r="19" spans="1:10" x14ac:dyDescent="0.35">
      <c r="A19" s="1" t="s">
        <v>16</v>
      </c>
      <c r="B19" s="3">
        <v>2020</v>
      </c>
      <c r="C19" s="6">
        <f t="shared" si="3"/>
        <v>45.49</v>
      </c>
      <c r="E19" s="12" t="s">
        <v>13</v>
      </c>
      <c r="F19" s="8">
        <v>84.713821289999998</v>
      </c>
      <c r="G19" s="8">
        <v>88.144309960000001</v>
      </c>
      <c r="H19" s="8">
        <v>85.385999999999996</v>
      </c>
      <c r="I19" s="9">
        <v>87.52</v>
      </c>
      <c r="J19" s="10">
        <v>88.71</v>
      </c>
    </row>
    <row r="20" spans="1:10" x14ac:dyDescent="0.35">
      <c r="A20" s="1" t="s">
        <v>16</v>
      </c>
      <c r="B20" s="3">
        <v>2021</v>
      </c>
      <c r="C20" s="6">
        <f t="shared" si="3"/>
        <v>45.43</v>
      </c>
      <c r="E20" s="12" t="s">
        <v>12</v>
      </c>
      <c r="F20" s="8">
        <v>92.17232285</v>
      </c>
      <c r="G20" s="8">
        <v>91.592575679999996</v>
      </c>
      <c r="H20" s="8">
        <v>90.236999999999995</v>
      </c>
      <c r="I20" s="9">
        <v>92.06</v>
      </c>
      <c r="J20" s="10">
        <v>92.96</v>
      </c>
    </row>
    <row r="21" spans="1:10" x14ac:dyDescent="0.35">
      <c r="A21" s="1" t="s">
        <v>16</v>
      </c>
      <c r="B21" s="3">
        <v>2022</v>
      </c>
      <c r="C21" s="6">
        <f t="shared" si="3"/>
        <v>45.39</v>
      </c>
      <c r="E21" s="12" t="s">
        <v>25</v>
      </c>
      <c r="F21" s="8">
        <v>96.68447707</v>
      </c>
      <c r="G21" s="8">
        <v>96.665137549999997</v>
      </c>
      <c r="H21" s="8">
        <v>97.504000000000005</v>
      </c>
      <c r="I21" s="9">
        <v>97.99</v>
      </c>
      <c r="J21" s="10">
        <v>97.95</v>
      </c>
    </row>
    <row r="22" spans="1:10" x14ac:dyDescent="0.35">
      <c r="A22" s="1" t="s">
        <v>6</v>
      </c>
      <c r="B22" s="3">
        <v>2018</v>
      </c>
      <c r="C22" s="6">
        <f>J2</f>
        <v>46.781836817330571</v>
      </c>
      <c r="E22" s="12" t="s">
        <v>26</v>
      </c>
      <c r="F22" s="8">
        <v>91.773830340000004</v>
      </c>
      <c r="G22" s="8">
        <v>91.047519199999996</v>
      </c>
      <c r="H22" s="8">
        <v>93.18</v>
      </c>
      <c r="I22" s="9">
        <v>91.99</v>
      </c>
      <c r="J22" s="10">
        <v>95.38</v>
      </c>
    </row>
    <row r="23" spans="1:10" x14ac:dyDescent="0.35">
      <c r="A23" s="1" t="s">
        <v>6</v>
      </c>
      <c r="B23" s="3">
        <v>2019</v>
      </c>
      <c r="C23" s="6">
        <f t="shared" ref="C23:C26" si="4">J3</f>
        <v>46.49</v>
      </c>
    </row>
    <row r="24" spans="1:10" x14ac:dyDescent="0.35">
      <c r="A24" s="1" t="s">
        <v>6</v>
      </c>
      <c r="B24" s="3">
        <v>2020</v>
      </c>
      <c r="C24" s="6">
        <f t="shared" si="4"/>
        <v>41.73</v>
      </c>
    </row>
    <row r="25" spans="1:10" x14ac:dyDescent="0.35">
      <c r="A25" s="1" t="s">
        <v>6</v>
      </c>
      <c r="B25" s="3">
        <v>2021</v>
      </c>
      <c r="C25" s="6">
        <f t="shared" si="4"/>
        <v>41.54</v>
      </c>
    </row>
    <row r="26" spans="1:10" x14ac:dyDescent="0.35">
      <c r="A26" s="1" t="s">
        <v>6</v>
      </c>
      <c r="B26" s="3">
        <v>2022</v>
      </c>
      <c r="C26" s="6">
        <f t="shared" si="4"/>
        <v>41.39</v>
      </c>
    </row>
    <row r="27" spans="1:10" x14ac:dyDescent="0.35">
      <c r="A27" s="1" t="s">
        <v>7</v>
      </c>
      <c r="B27" s="3">
        <v>2018</v>
      </c>
      <c r="C27" s="6">
        <f>K2</f>
        <v>49.05481817966735</v>
      </c>
    </row>
    <row r="28" spans="1:10" x14ac:dyDescent="0.35">
      <c r="A28" s="1" t="s">
        <v>7</v>
      </c>
      <c r="B28" s="3">
        <v>2019</v>
      </c>
      <c r="C28" s="6">
        <f t="shared" ref="C28:C31" si="5">K3</f>
        <v>45.78</v>
      </c>
    </row>
    <row r="29" spans="1:10" x14ac:dyDescent="0.35">
      <c r="A29" s="1" t="s">
        <v>7</v>
      </c>
      <c r="B29" s="3">
        <v>2020</v>
      </c>
      <c r="C29" s="6">
        <f t="shared" si="5"/>
        <v>40.85</v>
      </c>
    </row>
    <row r="30" spans="1:10" x14ac:dyDescent="0.35">
      <c r="A30" s="1" t="s">
        <v>7</v>
      </c>
      <c r="B30" s="3">
        <v>2021</v>
      </c>
      <c r="C30" s="6">
        <f t="shared" si="5"/>
        <v>40.67</v>
      </c>
    </row>
    <row r="31" spans="1:10" x14ac:dyDescent="0.35">
      <c r="A31" s="1" t="s">
        <v>7</v>
      </c>
      <c r="B31" s="3">
        <v>2022</v>
      </c>
      <c r="C31" s="6">
        <f t="shared" si="5"/>
        <v>40.520000000000003</v>
      </c>
    </row>
    <row r="32" spans="1:10" x14ac:dyDescent="0.35">
      <c r="A32" s="1" t="s">
        <v>8</v>
      </c>
      <c r="B32" s="3">
        <v>2018</v>
      </c>
      <c r="C32" s="6">
        <f>L2</f>
        <v>50.763355994514633</v>
      </c>
    </row>
    <row r="33" spans="1:3" x14ac:dyDescent="0.35">
      <c r="A33" s="1" t="s">
        <v>8</v>
      </c>
      <c r="B33" s="3">
        <v>2019</v>
      </c>
      <c r="C33" s="6">
        <f t="shared" ref="C33:C36" si="6">L3</f>
        <v>50.43</v>
      </c>
    </row>
    <row r="34" spans="1:3" x14ac:dyDescent="0.35">
      <c r="A34" s="1" t="s">
        <v>8</v>
      </c>
      <c r="B34" s="3">
        <v>2020</v>
      </c>
      <c r="C34" s="6">
        <f t="shared" si="6"/>
        <v>46.37</v>
      </c>
    </row>
    <row r="35" spans="1:3" x14ac:dyDescent="0.35">
      <c r="A35" s="1" t="s">
        <v>8</v>
      </c>
      <c r="B35" s="3">
        <v>2021</v>
      </c>
      <c r="C35" s="6">
        <f t="shared" si="6"/>
        <v>46.19</v>
      </c>
    </row>
    <row r="36" spans="1:3" x14ac:dyDescent="0.35">
      <c r="A36" s="1" t="s">
        <v>8</v>
      </c>
      <c r="B36" s="3">
        <v>2022</v>
      </c>
      <c r="C36" s="6">
        <f t="shared" si="6"/>
        <v>46.03</v>
      </c>
    </row>
    <row r="37" spans="1:3" x14ac:dyDescent="0.35">
      <c r="A37" s="1" t="s">
        <v>9</v>
      </c>
      <c r="B37" s="3">
        <v>2018</v>
      </c>
      <c r="C37" s="6">
        <f>M2</f>
        <v>48.363036417069104</v>
      </c>
    </row>
    <row r="38" spans="1:3" x14ac:dyDescent="0.35">
      <c r="A38" s="1" t="s">
        <v>9</v>
      </c>
      <c r="B38" s="3">
        <v>2019</v>
      </c>
      <c r="C38" s="6">
        <f t="shared" ref="C38:C41" si="7">M3</f>
        <v>47.53</v>
      </c>
    </row>
    <row r="39" spans="1:3" x14ac:dyDescent="0.35">
      <c r="A39" s="1" t="s">
        <v>9</v>
      </c>
      <c r="B39" s="3">
        <v>2020</v>
      </c>
      <c r="C39" s="6">
        <f t="shared" si="7"/>
        <v>44.6</v>
      </c>
    </row>
    <row r="40" spans="1:3" x14ac:dyDescent="0.35">
      <c r="A40" s="1" t="s">
        <v>9</v>
      </c>
      <c r="B40" s="3">
        <v>2021</v>
      </c>
      <c r="C40" s="6">
        <f t="shared" si="7"/>
        <v>44.36</v>
      </c>
    </row>
    <row r="41" spans="1:3" x14ac:dyDescent="0.35">
      <c r="A41" s="1" t="s">
        <v>9</v>
      </c>
      <c r="B41" s="3">
        <v>2022</v>
      </c>
      <c r="C41" s="6">
        <f t="shared" si="7"/>
        <v>44.16</v>
      </c>
    </row>
    <row r="42" spans="1:3" x14ac:dyDescent="0.35">
      <c r="A42" s="1" t="s">
        <v>10</v>
      </c>
      <c r="B42" s="3">
        <v>2018</v>
      </c>
      <c r="C42" s="6">
        <f>N2</f>
        <v>49.457067113993439</v>
      </c>
    </row>
    <row r="43" spans="1:3" x14ac:dyDescent="0.35">
      <c r="A43" s="1" t="s">
        <v>10</v>
      </c>
      <c r="B43" s="3">
        <v>2019</v>
      </c>
      <c r="C43" s="6">
        <f t="shared" ref="C43:C46" si="8">N3</f>
        <v>48.88</v>
      </c>
    </row>
    <row r="44" spans="1:3" x14ac:dyDescent="0.35">
      <c r="A44" s="1" t="s">
        <v>10</v>
      </c>
      <c r="B44" s="3">
        <v>2020</v>
      </c>
      <c r="C44" s="6">
        <f t="shared" si="8"/>
        <v>44.25</v>
      </c>
    </row>
    <row r="45" spans="1:3" x14ac:dyDescent="0.35">
      <c r="A45" s="1" t="s">
        <v>10</v>
      </c>
      <c r="B45" s="3">
        <v>2021</v>
      </c>
      <c r="C45" s="6">
        <f t="shared" si="8"/>
        <v>44.09</v>
      </c>
    </row>
    <row r="46" spans="1:3" x14ac:dyDescent="0.35">
      <c r="A46" s="1" t="s">
        <v>10</v>
      </c>
      <c r="B46" s="3">
        <v>2022</v>
      </c>
      <c r="C46" s="6">
        <f t="shared" si="8"/>
        <v>43.96</v>
      </c>
    </row>
    <row r="47" spans="1:3" x14ac:dyDescent="0.35">
      <c r="A47" s="1" t="s">
        <v>11</v>
      </c>
      <c r="B47" s="3">
        <v>2018</v>
      </c>
      <c r="C47" s="6">
        <f>O2</f>
        <v>47.550974938370096</v>
      </c>
    </row>
    <row r="48" spans="1:3" x14ac:dyDescent="0.35">
      <c r="A48" s="1" t="s">
        <v>11</v>
      </c>
      <c r="B48" s="3">
        <v>2019</v>
      </c>
      <c r="C48" s="6">
        <f t="shared" ref="C48:C51" si="9">O3</f>
        <v>47.33</v>
      </c>
    </row>
    <row r="49" spans="1:3" x14ac:dyDescent="0.35">
      <c r="A49" s="1" t="s">
        <v>11</v>
      </c>
      <c r="B49" s="3">
        <v>2020</v>
      </c>
      <c r="C49" s="6">
        <f t="shared" si="9"/>
        <v>40.08</v>
      </c>
    </row>
    <row r="50" spans="1:3" x14ac:dyDescent="0.35">
      <c r="A50" s="1" t="s">
        <v>11</v>
      </c>
      <c r="B50" s="3">
        <v>2021</v>
      </c>
      <c r="C50" s="6">
        <f t="shared" si="9"/>
        <v>39.700000000000003</v>
      </c>
    </row>
    <row r="51" spans="1:3" x14ac:dyDescent="0.35">
      <c r="A51" s="1" t="s">
        <v>11</v>
      </c>
      <c r="B51" s="3">
        <v>2022</v>
      </c>
      <c r="C51" s="6">
        <f t="shared" si="9"/>
        <v>39.56</v>
      </c>
    </row>
    <row r="52" spans="1:3" x14ac:dyDescent="0.35">
      <c r="A52" s="1" t="s">
        <v>13</v>
      </c>
      <c r="B52" s="3">
        <v>2018</v>
      </c>
      <c r="C52" s="6">
        <f>P2</f>
        <v>53.669959953995594</v>
      </c>
    </row>
    <row r="53" spans="1:3" x14ac:dyDescent="0.35">
      <c r="A53" s="1" t="s">
        <v>13</v>
      </c>
      <c r="B53" s="3">
        <v>2019</v>
      </c>
      <c r="C53" s="6">
        <f t="shared" ref="C53:C56" si="10">P3</f>
        <v>54.22</v>
      </c>
    </row>
    <row r="54" spans="1:3" x14ac:dyDescent="0.35">
      <c r="A54" s="1" t="s">
        <v>13</v>
      </c>
      <c r="B54" s="3">
        <v>2020</v>
      </c>
      <c r="C54" s="6">
        <f t="shared" si="10"/>
        <v>45.42</v>
      </c>
    </row>
    <row r="55" spans="1:3" x14ac:dyDescent="0.35">
      <c r="A55" s="1" t="s">
        <v>13</v>
      </c>
      <c r="B55" s="3">
        <v>2021</v>
      </c>
      <c r="C55" s="6">
        <f t="shared" si="10"/>
        <v>45.24</v>
      </c>
    </row>
    <row r="56" spans="1:3" x14ac:dyDescent="0.35">
      <c r="A56" s="1" t="s">
        <v>13</v>
      </c>
      <c r="B56" s="3">
        <v>2022</v>
      </c>
      <c r="C56" s="6">
        <f t="shared" si="10"/>
        <v>45.1</v>
      </c>
    </row>
    <row r="57" spans="1:3" x14ac:dyDescent="0.35">
      <c r="A57" s="1" t="s">
        <v>12</v>
      </c>
      <c r="B57" s="3">
        <v>2018</v>
      </c>
      <c r="C57" s="6">
        <f>Q2</f>
        <v>51.089010389926592</v>
      </c>
    </row>
    <row r="58" spans="1:3" x14ac:dyDescent="0.35">
      <c r="A58" s="1" t="s">
        <v>12</v>
      </c>
      <c r="B58" s="3">
        <v>2019</v>
      </c>
      <c r="C58" s="6">
        <f t="shared" ref="C58:C61" si="11">Q3</f>
        <v>50.94</v>
      </c>
    </row>
    <row r="59" spans="1:3" x14ac:dyDescent="0.35">
      <c r="A59" s="1" t="s">
        <v>12</v>
      </c>
      <c r="B59" s="3">
        <v>2020</v>
      </c>
      <c r="C59" s="6">
        <f t="shared" si="11"/>
        <v>45.74</v>
      </c>
    </row>
    <row r="60" spans="1:3" x14ac:dyDescent="0.35">
      <c r="A60" s="1" t="s">
        <v>12</v>
      </c>
      <c r="B60" s="3">
        <v>2021</v>
      </c>
      <c r="C60" s="6">
        <f t="shared" si="11"/>
        <v>45.56</v>
      </c>
    </row>
    <row r="61" spans="1:3" x14ac:dyDescent="0.35">
      <c r="A61" s="1" t="s">
        <v>12</v>
      </c>
      <c r="B61" s="3">
        <v>2022</v>
      </c>
      <c r="C61" s="6">
        <f t="shared" si="11"/>
        <v>45.41</v>
      </c>
    </row>
    <row r="62" spans="1:3" x14ac:dyDescent="0.35">
      <c r="A62" s="1" t="s">
        <v>14</v>
      </c>
      <c r="B62" s="3">
        <v>2018</v>
      </c>
      <c r="C62" s="6">
        <f>R2</f>
        <v>43.485558588010825</v>
      </c>
    </row>
    <row r="63" spans="1:3" x14ac:dyDescent="0.35">
      <c r="A63" s="1" t="s">
        <v>14</v>
      </c>
      <c r="B63" s="3">
        <v>2019</v>
      </c>
      <c r="C63" s="6">
        <f t="shared" ref="C63:C66" si="12">R3</f>
        <v>43.41</v>
      </c>
    </row>
    <row r="64" spans="1:3" x14ac:dyDescent="0.35">
      <c r="A64" s="1" t="s">
        <v>14</v>
      </c>
      <c r="B64" s="3">
        <v>2020</v>
      </c>
      <c r="C64" s="6">
        <f t="shared" si="12"/>
        <v>45.01</v>
      </c>
    </row>
    <row r="65" spans="1:3" x14ac:dyDescent="0.35">
      <c r="A65" s="1" t="s">
        <v>14</v>
      </c>
      <c r="B65" s="3">
        <v>2021</v>
      </c>
      <c r="C65" s="6">
        <f t="shared" si="12"/>
        <v>44.89</v>
      </c>
    </row>
    <row r="66" spans="1:3" x14ac:dyDescent="0.35">
      <c r="A66" s="1" t="s">
        <v>14</v>
      </c>
      <c r="B66" s="3">
        <v>2022</v>
      </c>
      <c r="C66" s="6">
        <f t="shared" si="12"/>
        <v>44.79</v>
      </c>
    </row>
    <row r="67" spans="1:3" x14ac:dyDescent="0.35">
      <c r="A67" s="1" t="s">
        <v>15</v>
      </c>
      <c r="B67" s="3">
        <v>2018</v>
      </c>
      <c r="C67" s="6">
        <f>S2</f>
        <v>53.714073200853264</v>
      </c>
    </row>
    <row r="68" spans="1:3" x14ac:dyDescent="0.35">
      <c r="A68" s="1" t="s">
        <v>15</v>
      </c>
      <c r="B68" s="3">
        <v>2019</v>
      </c>
      <c r="C68" s="6">
        <f t="shared" ref="C68:C71" si="13">S3</f>
        <v>53.61</v>
      </c>
    </row>
    <row r="69" spans="1:3" x14ac:dyDescent="0.35">
      <c r="A69" s="1" t="s">
        <v>15</v>
      </c>
      <c r="B69" s="3">
        <v>2020</v>
      </c>
      <c r="C69" s="6">
        <f t="shared" si="13"/>
        <v>49.53</v>
      </c>
    </row>
    <row r="70" spans="1:3" x14ac:dyDescent="0.35">
      <c r="A70" s="1" t="s">
        <v>15</v>
      </c>
      <c r="B70" s="3">
        <v>2021</v>
      </c>
      <c r="C70" s="6">
        <f t="shared" si="13"/>
        <v>49.39</v>
      </c>
    </row>
    <row r="71" spans="1:3" x14ac:dyDescent="0.35">
      <c r="A71" s="1" t="s">
        <v>15</v>
      </c>
      <c r="B71" s="3">
        <v>2022</v>
      </c>
      <c r="C71" s="6">
        <f t="shared" si="13"/>
        <v>49.29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18A8-D98E-4BE1-A2C3-C8922CA15256}">
  <dimension ref="A1:S71"/>
  <sheetViews>
    <sheetView topLeftCell="C51" workbookViewId="0">
      <selection activeCell="C2" sqref="C2:C71"/>
    </sheetView>
  </sheetViews>
  <sheetFormatPr defaultRowHeight="14.5" x14ac:dyDescent="0.35"/>
  <cols>
    <col min="1" max="1" width="15.1796875" bestFit="1" customWidth="1"/>
    <col min="2" max="2" width="6.08984375" bestFit="1" customWidth="1"/>
    <col min="3" max="3" width="10.36328125" customWidth="1"/>
    <col min="5" max="5" width="15.1796875" customWidth="1"/>
    <col min="6" max="6" width="7.26953125" bestFit="1" customWidth="1"/>
    <col min="7" max="7" width="10.7265625" bestFit="1" customWidth="1"/>
    <col min="8" max="8" width="6.7265625" bestFit="1" customWidth="1"/>
    <col min="9" max="9" width="10.81640625" bestFit="1" customWidth="1"/>
    <col min="10" max="10" width="7.7265625" bestFit="1" customWidth="1"/>
    <col min="11" max="11" width="8.54296875" bestFit="1" customWidth="1"/>
    <col min="12" max="12" width="6.90625" bestFit="1" customWidth="1"/>
    <col min="13" max="13" width="11.1796875" bestFit="1" customWidth="1"/>
    <col min="14" max="14" width="7.81640625" bestFit="1" customWidth="1"/>
    <col min="15" max="15" width="6.90625" bestFit="1" customWidth="1"/>
    <col min="16" max="16" width="11.90625" bestFit="1" customWidth="1"/>
    <col min="17" max="17" width="9.54296875" bestFit="1" customWidth="1"/>
    <col min="18" max="18" width="13.36328125" bestFit="1" customWidth="1"/>
    <col min="19" max="20" width="14.81640625" bestFit="1" customWidth="1"/>
  </cols>
  <sheetData>
    <row r="1" spans="1:19" x14ac:dyDescent="0.35">
      <c r="A1" s="2" t="s">
        <v>0</v>
      </c>
      <c r="B1" s="2" t="s">
        <v>1</v>
      </c>
      <c r="C1" s="2" t="s">
        <v>19</v>
      </c>
      <c r="E1" s="2" t="s">
        <v>1</v>
      </c>
      <c r="F1" s="3" t="s">
        <v>3</v>
      </c>
      <c r="G1" s="3" t="s">
        <v>4</v>
      </c>
      <c r="H1" s="3" t="s">
        <v>5</v>
      </c>
      <c r="I1" s="3" t="s">
        <v>16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13</v>
      </c>
      <c r="Q1" s="3" t="s">
        <v>12</v>
      </c>
      <c r="R1" s="3" t="s">
        <v>14</v>
      </c>
      <c r="S1" s="3" t="s">
        <v>15</v>
      </c>
    </row>
    <row r="2" spans="1:19" x14ac:dyDescent="0.35">
      <c r="A2" s="1" t="s">
        <v>3</v>
      </c>
      <c r="B2" s="3">
        <v>2018</v>
      </c>
      <c r="C2" s="6">
        <f>F2</f>
        <v>91.660599590000004</v>
      </c>
      <c r="E2" s="3">
        <v>2018</v>
      </c>
      <c r="F2" s="8">
        <v>91.660599590000004</v>
      </c>
      <c r="G2" s="8">
        <v>90.616516689999997</v>
      </c>
      <c r="H2" s="8">
        <v>92.690220530000005</v>
      </c>
      <c r="I2" s="8">
        <v>92.274451819999996</v>
      </c>
      <c r="J2" s="8">
        <v>91.654508579999998</v>
      </c>
      <c r="K2" s="8">
        <v>93.244687470000002</v>
      </c>
      <c r="L2" s="8">
        <v>91.582428879999995</v>
      </c>
      <c r="M2" s="8">
        <v>93.528701530000006</v>
      </c>
      <c r="N2" s="8">
        <v>92.196001999999993</v>
      </c>
      <c r="O2" s="8">
        <v>91.883740059999994</v>
      </c>
      <c r="P2" s="8">
        <v>84.713821289999998</v>
      </c>
      <c r="Q2" s="8">
        <v>92.17232285</v>
      </c>
      <c r="R2" s="8">
        <v>96.68447707</v>
      </c>
      <c r="S2" s="8">
        <v>91.773830340000004</v>
      </c>
    </row>
    <row r="3" spans="1:19" x14ac:dyDescent="0.35">
      <c r="A3" s="1" t="s">
        <v>3</v>
      </c>
      <c r="B3" s="3">
        <v>2019</v>
      </c>
      <c r="C3" s="6">
        <f t="shared" ref="C3:C6" si="0">F3</f>
        <v>93.003724120000001</v>
      </c>
      <c r="E3" s="3">
        <v>2019</v>
      </c>
      <c r="F3" s="8">
        <v>93.003724120000001</v>
      </c>
      <c r="G3" s="8">
        <v>93.123717920000004</v>
      </c>
      <c r="H3" s="8">
        <v>93.629983039999999</v>
      </c>
      <c r="I3" s="8">
        <v>91.669871380000004</v>
      </c>
      <c r="J3" s="8">
        <v>91.634140450000004</v>
      </c>
      <c r="K3" s="8">
        <v>95.159381589999995</v>
      </c>
      <c r="L3" s="8">
        <v>93.437004540000004</v>
      </c>
      <c r="M3" s="8">
        <v>94.628406760000004</v>
      </c>
      <c r="N3" s="8">
        <v>91.920853370000003</v>
      </c>
      <c r="O3" s="8">
        <v>91.134128860000004</v>
      </c>
      <c r="P3" s="8">
        <v>88.144309960000001</v>
      </c>
      <c r="Q3" s="8">
        <v>91.592575679999996</v>
      </c>
      <c r="R3" s="8">
        <v>96.665137549999997</v>
      </c>
      <c r="S3" s="8">
        <v>91.047519199999996</v>
      </c>
    </row>
    <row r="4" spans="1:19" x14ac:dyDescent="0.35">
      <c r="A4" s="1" t="s">
        <v>3</v>
      </c>
      <c r="B4" s="3">
        <v>2020</v>
      </c>
      <c r="C4" s="6">
        <f t="shared" si="0"/>
        <v>91.614999999999995</v>
      </c>
      <c r="E4" s="3">
        <v>2020</v>
      </c>
      <c r="F4" s="8">
        <v>91.614999999999995</v>
      </c>
      <c r="G4" s="8">
        <v>93.88</v>
      </c>
      <c r="H4" s="8">
        <v>92.635999999999996</v>
      </c>
      <c r="I4" s="8">
        <v>93.566999999999993</v>
      </c>
      <c r="J4" s="8">
        <v>94.986999999999995</v>
      </c>
      <c r="K4" s="8">
        <v>95.406999999999996</v>
      </c>
      <c r="L4" s="8">
        <v>92.819000000000003</v>
      </c>
      <c r="M4" s="8">
        <v>93.7</v>
      </c>
      <c r="N4" s="8">
        <v>93.048000000000002</v>
      </c>
      <c r="O4" s="8">
        <v>91.138999999999996</v>
      </c>
      <c r="P4" s="8">
        <v>85.385999999999996</v>
      </c>
      <c r="Q4" s="8">
        <v>90.236999999999995</v>
      </c>
      <c r="R4" s="8">
        <v>97.504000000000005</v>
      </c>
      <c r="S4" s="8">
        <v>93.18</v>
      </c>
    </row>
    <row r="5" spans="1:19" x14ac:dyDescent="0.35">
      <c r="A5" s="1" t="s">
        <v>3</v>
      </c>
      <c r="B5" s="3">
        <v>2021</v>
      </c>
      <c r="C5" s="6">
        <f t="shared" si="0"/>
        <v>94.31</v>
      </c>
      <c r="E5" s="3">
        <v>2021</v>
      </c>
      <c r="F5" s="9">
        <v>94.31</v>
      </c>
      <c r="G5" s="9">
        <v>92.93</v>
      </c>
      <c r="H5" s="9">
        <v>92.93</v>
      </c>
      <c r="I5" s="9">
        <v>92.48</v>
      </c>
      <c r="J5" s="9">
        <v>93.34</v>
      </c>
      <c r="K5" s="9">
        <v>94.08</v>
      </c>
      <c r="L5" s="9">
        <v>89.98</v>
      </c>
      <c r="M5" s="9">
        <v>93.13</v>
      </c>
      <c r="N5" s="9">
        <v>93.36</v>
      </c>
      <c r="O5" s="9">
        <v>93.08</v>
      </c>
      <c r="P5" s="9">
        <v>87.52</v>
      </c>
      <c r="Q5" s="9">
        <v>92.06</v>
      </c>
      <c r="R5" s="9">
        <v>97.99</v>
      </c>
      <c r="S5" s="9">
        <v>91.99</v>
      </c>
    </row>
    <row r="6" spans="1:19" x14ac:dyDescent="0.35">
      <c r="A6" s="1" t="s">
        <v>3</v>
      </c>
      <c r="B6" s="3">
        <v>2022</v>
      </c>
      <c r="C6" s="6">
        <f t="shared" si="0"/>
        <v>93.61</v>
      </c>
      <c r="E6" s="3">
        <v>2022</v>
      </c>
      <c r="F6" s="10">
        <v>93.61</v>
      </c>
      <c r="G6" s="10">
        <v>94.74</v>
      </c>
      <c r="H6" s="10">
        <v>93.04</v>
      </c>
      <c r="I6" s="10">
        <v>92.74</v>
      </c>
      <c r="J6" s="10">
        <v>93.34</v>
      </c>
      <c r="K6" s="10">
        <v>95.52</v>
      </c>
      <c r="L6" s="10">
        <v>92.18</v>
      </c>
      <c r="M6" s="10">
        <v>93.31</v>
      </c>
      <c r="N6" s="10">
        <v>93.92</v>
      </c>
      <c r="O6" s="10">
        <v>90.68</v>
      </c>
      <c r="P6" s="10">
        <v>88.71</v>
      </c>
      <c r="Q6" s="10">
        <v>92.96</v>
      </c>
      <c r="R6" s="10">
        <v>97.95</v>
      </c>
      <c r="S6" s="10">
        <v>95.38</v>
      </c>
    </row>
    <row r="7" spans="1:19" x14ac:dyDescent="0.35">
      <c r="A7" s="1" t="s">
        <v>4</v>
      </c>
      <c r="B7" s="3">
        <v>2018</v>
      </c>
      <c r="C7" s="6">
        <f>G2</f>
        <v>90.616516689999997</v>
      </c>
    </row>
    <row r="8" spans="1:19" x14ac:dyDescent="0.35">
      <c r="A8" s="1" t="s">
        <v>4</v>
      </c>
      <c r="B8" s="3">
        <v>2019</v>
      </c>
      <c r="C8" s="6">
        <f t="shared" ref="C8:C11" si="1">G3</f>
        <v>93.123717920000004</v>
      </c>
      <c r="E8" s="12" t="s">
        <v>40</v>
      </c>
      <c r="F8" s="3">
        <v>2018</v>
      </c>
      <c r="G8" s="3">
        <v>2019</v>
      </c>
      <c r="H8" s="3">
        <v>2020</v>
      </c>
      <c r="I8" s="3">
        <v>2021</v>
      </c>
      <c r="J8" s="3">
        <v>2022</v>
      </c>
    </row>
    <row r="9" spans="1:19" x14ac:dyDescent="0.35">
      <c r="A9" s="1" t="s">
        <v>4</v>
      </c>
      <c r="B9" s="3">
        <v>2020</v>
      </c>
      <c r="C9" s="6">
        <f t="shared" si="1"/>
        <v>93.88</v>
      </c>
      <c r="E9" s="12" t="s">
        <v>3</v>
      </c>
      <c r="F9" s="8">
        <v>91.660599590000004</v>
      </c>
      <c r="G9" s="8">
        <v>93.003724120000001</v>
      </c>
      <c r="H9" s="8">
        <v>91.614999999999995</v>
      </c>
      <c r="I9" s="9">
        <v>94.31</v>
      </c>
      <c r="J9" s="10">
        <v>93.61</v>
      </c>
    </row>
    <row r="10" spans="1:19" x14ac:dyDescent="0.35">
      <c r="A10" s="1" t="s">
        <v>4</v>
      </c>
      <c r="B10" s="3">
        <v>2021</v>
      </c>
      <c r="C10" s="6">
        <f t="shared" si="1"/>
        <v>92.93</v>
      </c>
      <c r="E10" s="12" t="s">
        <v>4</v>
      </c>
      <c r="F10" s="8">
        <v>90.616516689999997</v>
      </c>
      <c r="G10" s="8">
        <v>93.123717920000004</v>
      </c>
      <c r="H10" s="8">
        <v>93.88</v>
      </c>
      <c r="I10" s="9">
        <v>92.93</v>
      </c>
      <c r="J10" s="10">
        <v>94.74</v>
      </c>
    </row>
    <row r="11" spans="1:19" x14ac:dyDescent="0.35">
      <c r="A11" s="1" t="s">
        <v>4</v>
      </c>
      <c r="B11" s="3">
        <v>2022</v>
      </c>
      <c r="C11" s="6">
        <f t="shared" si="1"/>
        <v>94.74</v>
      </c>
      <c r="E11" s="12" t="s">
        <v>5</v>
      </c>
      <c r="F11" s="8">
        <v>92.690220530000005</v>
      </c>
      <c r="G11" s="8">
        <v>93.629983039999999</v>
      </c>
      <c r="H11" s="8">
        <v>92.635999999999996</v>
      </c>
      <c r="I11" s="9">
        <v>92.93</v>
      </c>
      <c r="J11" s="10">
        <v>93.04</v>
      </c>
    </row>
    <row r="12" spans="1:19" x14ac:dyDescent="0.35">
      <c r="A12" s="1" t="s">
        <v>5</v>
      </c>
      <c r="B12" s="3">
        <v>2018</v>
      </c>
      <c r="C12" s="6">
        <f>H2</f>
        <v>92.690220530000005</v>
      </c>
      <c r="E12" s="12" t="s">
        <v>16</v>
      </c>
      <c r="F12" s="8">
        <v>92.274451819999996</v>
      </c>
      <c r="G12" s="8">
        <v>91.669871380000004</v>
      </c>
      <c r="H12" s="8">
        <v>93.566999999999993</v>
      </c>
      <c r="I12" s="9">
        <v>92.48</v>
      </c>
      <c r="J12" s="10">
        <v>92.74</v>
      </c>
    </row>
    <row r="13" spans="1:19" x14ac:dyDescent="0.35">
      <c r="A13" s="1" t="s">
        <v>5</v>
      </c>
      <c r="B13" s="3">
        <v>2019</v>
      </c>
      <c r="C13" s="6">
        <f t="shared" ref="C13:C16" si="2">H3</f>
        <v>93.629983039999999</v>
      </c>
      <c r="E13" s="12" t="s">
        <v>6</v>
      </c>
      <c r="F13" s="8">
        <v>91.654508579999998</v>
      </c>
      <c r="G13" s="8">
        <v>91.634140450000004</v>
      </c>
      <c r="H13" s="8">
        <v>94.986999999999995</v>
      </c>
      <c r="I13" s="9">
        <v>93.34</v>
      </c>
      <c r="J13" s="10">
        <v>93.34</v>
      </c>
    </row>
    <row r="14" spans="1:19" x14ac:dyDescent="0.35">
      <c r="A14" s="1" t="s">
        <v>5</v>
      </c>
      <c r="B14" s="3">
        <v>2020</v>
      </c>
      <c r="C14" s="6">
        <f t="shared" si="2"/>
        <v>92.635999999999996</v>
      </c>
      <c r="E14" s="12" t="s">
        <v>7</v>
      </c>
      <c r="F14" s="8">
        <v>93.244687470000002</v>
      </c>
      <c r="G14" s="8">
        <v>95.159381589999995</v>
      </c>
      <c r="H14" s="8">
        <v>95.406999999999996</v>
      </c>
      <c r="I14" s="9">
        <v>94.08</v>
      </c>
      <c r="J14" s="10">
        <v>95.52</v>
      </c>
    </row>
    <row r="15" spans="1:19" x14ac:dyDescent="0.35">
      <c r="A15" s="1" t="s">
        <v>5</v>
      </c>
      <c r="B15" s="3">
        <v>2021</v>
      </c>
      <c r="C15" s="6">
        <f t="shared" si="2"/>
        <v>92.93</v>
      </c>
      <c r="E15" s="12" t="s">
        <v>8</v>
      </c>
      <c r="F15" s="8">
        <v>91.582428879999995</v>
      </c>
      <c r="G15" s="8">
        <v>93.437004540000004</v>
      </c>
      <c r="H15" s="8">
        <v>92.819000000000003</v>
      </c>
      <c r="I15" s="9">
        <v>89.98</v>
      </c>
      <c r="J15" s="10">
        <v>92.18</v>
      </c>
    </row>
    <row r="16" spans="1:19" x14ac:dyDescent="0.35">
      <c r="A16" s="1" t="s">
        <v>5</v>
      </c>
      <c r="B16" s="3">
        <v>2022</v>
      </c>
      <c r="C16" s="6">
        <f t="shared" si="2"/>
        <v>93.04</v>
      </c>
      <c r="E16" s="12" t="s">
        <v>9</v>
      </c>
      <c r="F16" s="8">
        <v>93.528701530000006</v>
      </c>
      <c r="G16" s="8">
        <v>94.628406760000004</v>
      </c>
      <c r="H16" s="8">
        <v>93.7</v>
      </c>
      <c r="I16" s="9">
        <v>93.13</v>
      </c>
      <c r="J16" s="10">
        <v>93.31</v>
      </c>
    </row>
    <row r="17" spans="1:10" x14ac:dyDescent="0.35">
      <c r="A17" s="1" t="s">
        <v>16</v>
      </c>
      <c r="B17" s="3">
        <v>2018</v>
      </c>
      <c r="C17" s="6">
        <f>I2</f>
        <v>92.274451819999996</v>
      </c>
      <c r="E17" s="12" t="s">
        <v>10</v>
      </c>
      <c r="F17" s="8">
        <v>92.196001999999993</v>
      </c>
      <c r="G17" s="8">
        <v>91.920853370000003</v>
      </c>
      <c r="H17" s="8">
        <v>93.048000000000002</v>
      </c>
      <c r="I17" s="9">
        <v>93.36</v>
      </c>
      <c r="J17" s="10">
        <v>93.92</v>
      </c>
    </row>
    <row r="18" spans="1:10" x14ac:dyDescent="0.35">
      <c r="A18" s="1" t="s">
        <v>16</v>
      </c>
      <c r="B18" s="3">
        <v>2019</v>
      </c>
      <c r="C18" s="6">
        <f t="shared" ref="C18:C21" si="3">I3</f>
        <v>91.669871380000004</v>
      </c>
      <c r="E18" s="12" t="s">
        <v>11</v>
      </c>
      <c r="F18" s="8">
        <v>91.883740059999994</v>
      </c>
      <c r="G18" s="8">
        <v>91.134128860000004</v>
      </c>
      <c r="H18" s="8">
        <v>91.138999999999996</v>
      </c>
      <c r="I18" s="9">
        <v>93.08</v>
      </c>
      <c r="J18" s="10">
        <v>90.68</v>
      </c>
    </row>
    <row r="19" spans="1:10" x14ac:dyDescent="0.35">
      <c r="A19" s="1" t="s">
        <v>16</v>
      </c>
      <c r="B19" s="3">
        <v>2020</v>
      </c>
      <c r="C19" s="6">
        <f t="shared" si="3"/>
        <v>93.566999999999993</v>
      </c>
      <c r="E19" s="12" t="s">
        <v>13</v>
      </c>
      <c r="F19" s="8">
        <v>84.713821289999998</v>
      </c>
      <c r="G19" s="8">
        <v>88.144309960000001</v>
      </c>
      <c r="H19" s="8">
        <v>85.385999999999996</v>
      </c>
      <c r="I19" s="9">
        <v>87.52</v>
      </c>
      <c r="J19" s="10">
        <v>88.71</v>
      </c>
    </row>
    <row r="20" spans="1:10" x14ac:dyDescent="0.35">
      <c r="A20" s="1" t="s">
        <v>16</v>
      </c>
      <c r="B20" s="3">
        <v>2021</v>
      </c>
      <c r="C20" s="6">
        <f t="shared" si="3"/>
        <v>92.48</v>
      </c>
      <c r="E20" s="12" t="s">
        <v>12</v>
      </c>
      <c r="F20" s="8">
        <v>92.17232285</v>
      </c>
      <c r="G20" s="8">
        <v>91.592575679999996</v>
      </c>
      <c r="H20" s="8">
        <v>90.236999999999995</v>
      </c>
      <c r="I20" s="9">
        <v>92.06</v>
      </c>
      <c r="J20" s="10">
        <v>92.96</v>
      </c>
    </row>
    <row r="21" spans="1:10" x14ac:dyDescent="0.35">
      <c r="A21" s="1" t="s">
        <v>16</v>
      </c>
      <c r="B21" s="3">
        <v>2022</v>
      </c>
      <c r="C21" s="6">
        <f t="shared" si="3"/>
        <v>92.74</v>
      </c>
      <c r="E21" s="12" t="s">
        <v>25</v>
      </c>
      <c r="F21" s="8">
        <v>96.68447707</v>
      </c>
      <c r="G21" s="8">
        <v>96.665137549999997</v>
      </c>
      <c r="H21" s="8">
        <v>97.504000000000005</v>
      </c>
      <c r="I21" s="9">
        <v>97.99</v>
      </c>
      <c r="J21" s="10">
        <v>97.95</v>
      </c>
    </row>
    <row r="22" spans="1:10" x14ac:dyDescent="0.35">
      <c r="A22" s="1" t="s">
        <v>6</v>
      </c>
      <c r="B22" s="3">
        <v>2018</v>
      </c>
      <c r="C22" s="6">
        <f>J2</f>
        <v>91.654508579999998</v>
      </c>
      <c r="E22" s="12" t="s">
        <v>26</v>
      </c>
      <c r="F22" s="8">
        <v>91.773830340000004</v>
      </c>
      <c r="G22" s="8">
        <v>91.047519199999996</v>
      </c>
      <c r="H22" s="8">
        <v>93.18</v>
      </c>
      <c r="I22" s="9">
        <v>91.99</v>
      </c>
      <c r="J22" s="10">
        <v>95.38</v>
      </c>
    </row>
    <row r="23" spans="1:10" x14ac:dyDescent="0.35">
      <c r="A23" s="1" t="s">
        <v>6</v>
      </c>
      <c r="B23" s="3">
        <v>2019</v>
      </c>
      <c r="C23" s="6">
        <f t="shared" ref="C23:C26" si="4">J3</f>
        <v>91.634140450000004</v>
      </c>
    </row>
    <row r="24" spans="1:10" x14ac:dyDescent="0.35">
      <c r="A24" s="1" t="s">
        <v>6</v>
      </c>
      <c r="B24" s="3">
        <v>2020</v>
      </c>
      <c r="C24" s="6">
        <f t="shared" si="4"/>
        <v>94.986999999999995</v>
      </c>
    </row>
    <row r="25" spans="1:10" x14ac:dyDescent="0.35">
      <c r="A25" s="1" t="s">
        <v>6</v>
      </c>
      <c r="B25" s="3">
        <v>2021</v>
      </c>
      <c r="C25" s="6">
        <f t="shared" si="4"/>
        <v>93.34</v>
      </c>
    </row>
    <row r="26" spans="1:10" x14ac:dyDescent="0.35">
      <c r="A26" s="1" t="s">
        <v>6</v>
      </c>
      <c r="B26" s="3">
        <v>2022</v>
      </c>
      <c r="C26" s="6">
        <f t="shared" si="4"/>
        <v>93.34</v>
      </c>
    </row>
    <row r="27" spans="1:10" x14ac:dyDescent="0.35">
      <c r="A27" s="1" t="s">
        <v>7</v>
      </c>
      <c r="B27" s="3">
        <v>2018</v>
      </c>
      <c r="C27" s="6">
        <f>K2</f>
        <v>93.244687470000002</v>
      </c>
    </row>
    <row r="28" spans="1:10" x14ac:dyDescent="0.35">
      <c r="A28" s="1" t="s">
        <v>7</v>
      </c>
      <c r="B28" s="3">
        <v>2019</v>
      </c>
      <c r="C28" s="6">
        <f t="shared" ref="C28:C31" si="5">K3</f>
        <v>95.159381589999995</v>
      </c>
    </row>
    <row r="29" spans="1:10" x14ac:dyDescent="0.35">
      <c r="A29" s="1" t="s">
        <v>7</v>
      </c>
      <c r="B29" s="3">
        <v>2020</v>
      </c>
      <c r="C29" s="6">
        <f t="shared" si="5"/>
        <v>95.406999999999996</v>
      </c>
    </row>
    <row r="30" spans="1:10" x14ac:dyDescent="0.35">
      <c r="A30" s="1" t="s">
        <v>7</v>
      </c>
      <c r="B30" s="3">
        <v>2021</v>
      </c>
      <c r="C30" s="6">
        <f t="shared" si="5"/>
        <v>94.08</v>
      </c>
    </row>
    <row r="31" spans="1:10" x14ac:dyDescent="0.35">
      <c r="A31" s="1" t="s">
        <v>7</v>
      </c>
      <c r="B31" s="3">
        <v>2022</v>
      </c>
      <c r="C31" s="6">
        <f t="shared" si="5"/>
        <v>95.52</v>
      </c>
    </row>
    <row r="32" spans="1:10" x14ac:dyDescent="0.35">
      <c r="A32" s="1" t="s">
        <v>8</v>
      </c>
      <c r="B32" s="3">
        <v>2018</v>
      </c>
      <c r="C32" s="6">
        <f>L2</f>
        <v>91.582428879999995</v>
      </c>
    </row>
    <row r="33" spans="1:3" x14ac:dyDescent="0.35">
      <c r="A33" s="1" t="s">
        <v>8</v>
      </c>
      <c r="B33" s="3">
        <v>2019</v>
      </c>
      <c r="C33" s="6">
        <f t="shared" ref="C33:C36" si="6">L3</f>
        <v>93.437004540000004</v>
      </c>
    </row>
    <row r="34" spans="1:3" x14ac:dyDescent="0.35">
      <c r="A34" s="1" t="s">
        <v>8</v>
      </c>
      <c r="B34" s="3">
        <v>2020</v>
      </c>
      <c r="C34" s="6">
        <f t="shared" si="6"/>
        <v>92.819000000000003</v>
      </c>
    </row>
    <row r="35" spans="1:3" x14ac:dyDescent="0.35">
      <c r="A35" s="1" t="s">
        <v>8</v>
      </c>
      <c r="B35" s="3">
        <v>2021</v>
      </c>
      <c r="C35" s="6">
        <f t="shared" si="6"/>
        <v>89.98</v>
      </c>
    </row>
    <row r="36" spans="1:3" x14ac:dyDescent="0.35">
      <c r="A36" s="1" t="s">
        <v>8</v>
      </c>
      <c r="B36" s="3">
        <v>2022</v>
      </c>
      <c r="C36" s="6">
        <f t="shared" si="6"/>
        <v>92.18</v>
      </c>
    </row>
    <row r="37" spans="1:3" x14ac:dyDescent="0.35">
      <c r="A37" s="1" t="s">
        <v>9</v>
      </c>
      <c r="B37" s="3">
        <v>2018</v>
      </c>
      <c r="C37" s="6">
        <f>M2</f>
        <v>93.528701530000006</v>
      </c>
    </row>
    <row r="38" spans="1:3" x14ac:dyDescent="0.35">
      <c r="A38" s="1" t="s">
        <v>9</v>
      </c>
      <c r="B38" s="3">
        <v>2019</v>
      </c>
      <c r="C38" s="6">
        <f t="shared" ref="C38:C41" si="7">M3</f>
        <v>94.628406760000004</v>
      </c>
    </row>
    <row r="39" spans="1:3" x14ac:dyDescent="0.35">
      <c r="A39" s="1" t="s">
        <v>9</v>
      </c>
      <c r="B39" s="3">
        <v>2020</v>
      </c>
      <c r="C39" s="6">
        <f t="shared" si="7"/>
        <v>93.7</v>
      </c>
    </row>
    <row r="40" spans="1:3" x14ac:dyDescent="0.35">
      <c r="A40" s="1" t="s">
        <v>9</v>
      </c>
      <c r="B40" s="3">
        <v>2021</v>
      </c>
      <c r="C40" s="6">
        <f t="shared" si="7"/>
        <v>93.13</v>
      </c>
    </row>
    <row r="41" spans="1:3" x14ac:dyDescent="0.35">
      <c r="A41" s="1" t="s">
        <v>9</v>
      </c>
      <c r="B41" s="3">
        <v>2022</v>
      </c>
      <c r="C41" s="6">
        <f t="shared" si="7"/>
        <v>93.31</v>
      </c>
    </row>
    <row r="42" spans="1:3" x14ac:dyDescent="0.35">
      <c r="A42" s="1" t="s">
        <v>10</v>
      </c>
      <c r="B42" s="3">
        <v>2018</v>
      </c>
      <c r="C42" s="6">
        <f>N2</f>
        <v>92.196001999999993</v>
      </c>
    </row>
    <row r="43" spans="1:3" x14ac:dyDescent="0.35">
      <c r="A43" s="1" t="s">
        <v>10</v>
      </c>
      <c r="B43" s="3">
        <v>2019</v>
      </c>
      <c r="C43" s="6">
        <f t="shared" ref="C43:C46" si="8">N3</f>
        <v>91.920853370000003</v>
      </c>
    </row>
    <row r="44" spans="1:3" x14ac:dyDescent="0.35">
      <c r="A44" s="1" t="s">
        <v>10</v>
      </c>
      <c r="B44" s="3">
        <v>2020</v>
      </c>
      <c r="C44" s="6">
        <f t="shared" si="8"/>
        <v>93.048000000000002</v>
      </c>
    </row>
    <row r="45" spans="1:3" x14ac:dyDescent="0.35">
      <c r="A45" s="1" t="s">
        <v>10</v>
      </c>
      <c r="B45" s="3">
        <v>2021</v>
      </c>
      <c r="C45" s="6">
        <f t="shared" si="8"/>
        <v>93.36</v>
      </c>
    </row>
    <row r="46" spans="1:3" x14ac:dyDescent="0.35">
      <c r="A46" s="1" t="s">
        <v>10</v>
      </c>
      <c r="B46" s="3">
        <v>2022</v>
      </c>
      <c r="C46" s="6">
        <f t="shared" si="8"/>
        <v>93.92</v>
      </c>
    </row>
    <row r="47" spans="1:3" x14ac:dyDescent="0.35">
      <c r="A47" s="1" t="s">
        <v>11</v>
      </c>
      <c r="B47" s="3">
        <v>2018</v>
      </c>
      <c r="C47" s="6">
        <f>O2</f>
        <v>91.883740059999994</v>
      </c>
    </row>
    <row r="48" spans="1:3" x14ac:dyDescent="0.35">
      <c r="A48" s="1" t="s">
        <v>11</v>
      </c>
      <c r="B48" s="3">
        <v>2019</v>
      </c>
      <c r="C48" s="6">
        <f t="shared" ref="C48:C51" si="9">O3</f>
        <v>91.134128860000004</v>
      </c>
    </row>
    <row r="49" spans="1:3" x14ac:dyDescent="0.35">
      <c r="A49" s="1" t="s">
        <v>11</v>
      </c>
      <c r="B49" s="3">
        <v>2020</v>
      </c>
      <c r="C49" s="6">
        <f t="shared" si="9"/>
        <v>91.138999999999996</v>
      </c>
    </row>
    <row r="50" spans="1:3" x14ac:dyDescent="0.35">
      <c r="A50" s="1" t="s">
        <v>11</v>
      </c>
      <c r="B50" s="3">
        <v>2021</v>
      </c>
      <c r="C50" s="6">
        <f t="shared" si="9"/>
        <v>93.08</v>
      </c>
    </row>
    <row r="51" spans="1:3" x14ac:dyDescent="0.35">
      <c r="A51" s="1" t="s">
        <v>11</v>
      </c>
      <c r="B51" s="3">
        <v>2022</v>
      </c>
      <c r="C51" s="6">
        <f t="shared" si="9"/>
        <v>90.68</v>
      </c>
    </row>
    <row r="52" spans="1:3" x14ac:dyDescent="0.35">
      <c r="A52" s="1" t="s">
        <v>13</v>
      </c>
      <c r="B52" s="3">
        <v>2018</v>
      </c>
      <c r="C52" s="6">
        <f>P2</f>
        <v>84.713821289999998</v>
      </c>
    </row>
    <row r="53" spans="1:3" x14ac:dyDescent="0.35">
      <c r="A53" s="1" t="s">
        <v>13</v>
      </c>
      <c r="B53" s="3">
        <v>2019</v>
      </c>
      <c r="C53" s="6">
        <f t="shared" ref="C53:C56" si="10">P3</f>
        <v>88.144309960000001</v>
      </c>
    </row>
    <row r="54" spans="1:3" x14ac:dyDescent="0.35">
      <c r="A54" s="1" t="s">
        <v>13</v>
      </c>
      <c r="B54" s="3">
        <v>2020</v>
      </c>
      <c r="C54" s="6">
        <f t="shared" si="10"/>
        <v>85.385999999999996</v>
      </c>
    </row>
    <row r="55" spans="1:3" x14ac:dyDescent="0.35">
      <c r="A55" s="1" t="s">
        <v>13</v>
      </c>
      <c r="B55" s="3">
        <v>2021</v>
      </c>
      <c r="C55" s="6">
        <f t="shared" si="10"/>
        <v>87.52</v>
      </c>
    </row>
    <row r="56" spans="1:3" x14ac:dyDescent="0.35">
      <c r="A56" s="1" t="s">
        <v>13</v>
      </c>
      <c r="B56" s="3">
        <v>2022</v>
      </c>
      <c r="C56" s="6">
        <f t="shared" si="10"/>
        <v>88.71</v>
      </c>
    </row>
    <row r="57" spans="1:3" x14ac:dyDescent="0.35">
      <c r="A57" s="1" t="s">
        <v>12</v>
      </c>
      <c r="B57" s="3">
        <v>2018</v>
      </c>
      <c r="C57" s="6">
        <f>Q2</f>
        <v>92.17232285</v>
      </c>
    </row>
    <row r="58" spans="1:3" x14ac:dyDescent="0.35">
      <c r="A58" s="1" t="s">
        <v>12</v>
      </c>
      <c r="B58" s="3">
        <v>2019</v>
      </c>
      <c r="C58" s="6">
        <f t="shared" ref="C58:C61" si="11">Q3</f>
        <v>91.592575679999996</v>
      </c>
    </row>
    <row r="59" spans="1:3" x14ac:dyDescent="0.35">
      <c r="A59" s="1" t="s">
        <v>12</v>
      </c>
      <c r="B59" s="3">
        <v>2020</v>
      </c>
      <c r="C59" s="6">
        <f t="shared" si="11"/>
        <v>90.236999999999995</v>
      </c>
    </row>
    <row r="60" spans="1:3" x14ac:dyDescent="0.35">
      <c r="A60" s="1" t="s">
        <v>12</v>
      </c>
      <c r="B60" s="3">
        <v>2021</v>
      </c>
      <c r="C60" s="6">
        <f t="shared" si="11"/>
        <v>92.06</v>
      </c>
    </row>
    <row r="61" spans="1:3" x14ac:dyDescent="0.35">
      <c r="A61" s="1" t="s">
        <v>12</v>
      </c>
      <c r="B61" s="3">
        <v>2022</v>
      </c>
      <c r="C61" s="6">
        <f t="shared" si="11"/>
        <v>92.96</v>
      </c>
    </row>
    <row r="62" spans="1:3" x14ac:dyDescent="0.35">
      <c r="A62" s="1" t="s">
        <v>14</v>
      </c>
      <c r="B62" s="3">
        <v>2018</v>
      </c>
      <c r="C62" s="6">
        <f>R2</f>
        <v>96.68447707</v>
      </c>
    </row>
    <row r="63" spans="1:3" x14ac:dyDescent="0.35">
      <c r="A63" s="1" t="s">
        <v>14</v>
      </c>
      <c r="B63" s="3">
        <v>2019</v>
      </c>
      <c r="C63" s="6">
        <f t="shared" ref="C63:C66" si="12">R3</f>
        <v>96.665137549999997</v>
      </c>
    </row>
    <row r="64" spans="1:3" x14ac:dyDescent="0.35">
      <c r="A64" s="1" t="s">
        <v>14</v>
      </c>
      <c r="B64" s="3">
        <v>2020</v>
      </c>
      <c r="C64" s="6">
        <f t="shared" si="12"/>
        <v>97.504000000000005</v>
      </c>
    </row>
    <row r="65" spans="1:3" x14ac:dyDescent="0.35">
      <c r="A65" s="1" t="s">
        <v>14</v>
      </c>
      <c r="B65" s="3">
        <v>2021</v>
      </c>
      <c r="C65" s="6">
        <f t="shared" si="12"/>
        <v>97.99</v>
      </c>
    </row>
    <row r="66" spans="1:3" x14ac:dyDescent="0.35">
      <c r="A66" s="1" t="s">
        <v>14</v>
      </c>
      <c r="B66" s="3">
        <v>2022</v>
      </c>
      <c r="C66" s="6">
        <f t="shared" si="12"/>
        <v>97.95</v>
      </c>
    </row>
    <row r="67" spans="1:3" x14ac:dyDescent="0.35">
      <c r="A67" s="1" t="s">
        <v>15</v>
      </c>
      <c r="B67" s="3">
        <v>2018</v>
      </c>
      <c r="C67" s="6">
        <f>S2</f>
        <v>91.773830340000004</v>
      </c>
    </row>
    <row r="68" spans="1:3" x14ac:dyDescent="0.35">
      <c r="A68" s="1" t="s">
        <v>15</v>
      </c>
      <c r="B68" s="3">
        <v>2019</v>
      </c>
      <c r="C68" s="6">
        <f t="shared" ref="C68:C71" si="13">S3</f>
        <v>91.047519199999996</v>
      </c>
    </row>
    <row r="69" spans="1:3" x14ac:dyDescent="0.35">
      <c r="A69" s="1" t="s">
        <v>15</v>
      </c>
      <c r="B69" s="3">
        <v>2020</v>
      </c>
      <c r="C69" s="6">
        <f t="shared" si="13"/>
        <v>93.18</v>
      </c>
    </row>
    <row r="70" spans="1:3" x14ac:dyDescent="0.35">
      <c r="A70" s="1" t="s">
        <v>15</v>
      </c>
      <c r="B70" s="3">
        <v>2021</v>
      </c>
      <c r="C70" s="6">
        <f t="shared" si="13"/>
        <v>91.99</v>
      </c>
    </row>
    <row r="71" spans="1:3" x14ac:dyDescent="0.35">
      <c r="A71" s="1" t="s">
        <v>15</v>
      </c>
      <c r="B71" s="3">
        <v>2022</v>
      </c>
      <c r="C71" s="6">
        <f t="shared" si="13"/>
        <v>95.38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426E-D74C-4705-A2B0-E695C5915077}">
  <dimension ref="A1:S71"/>
  <sheetViews>
    <sheetView topLeftCell="A51" workbookViewId="0">
      <selection activeCell="C2" sqref="C2:C71"/>
    </sheetView>
  </sheetViews>
  <sheetFormatPr defaultRowHeight="14.5" x14ac:dyDescent="0.35"/>
  <cols>
    <col min="1" max="1" width="15.1796875" bestFit="1" customWidth="1"/>
    <col min="2" max="2" width="6.08984375" bestFit="1" customWidth="1"/>
    <col min="3" max="3" width="10.36328125" customWidth="1"/>
    <col min="5" max="5" width="6.08984375" bestFit="1" customWidth="1"/>
    <col min="6" max="6" width="7.26953125" bestFit="1" customWidth="1"/>
    <col min="7" max="7" width="10.7265625" bestFit="1" customWidth="1"/>
    <col min="8" max="8" width="6.7265625" bestFit="1" customWidth="1"/>
    <col min="9" max="9" width="10.81640625" bestFit="1" customWidth="1"/>
    <col min="10" max="10" width="7.7265625" bestFit="1" customWidth="1"/>
    <col min="11" max="11" width="8.54296875" bestFit="1" customWidth="1"/>
    <col min="12" max="12" width="6.90625" bestFit="1" customWidth="1"/>
    <col min="13" max="13" width="11.1796875" bestFit="1" customWidth="1"/>
    <col min="14" max="14" width="7.81640625" bestFit="1" customWidth="1"/>
    <col min="15" max="15" width="6.90625" bestFit="1" customWidth="1"/>
    <col min="16" max="16" width="11.90625" bestFit="1" customWidth="1"/>
    <col min="17" max="17" width="9.54296875" bestFit="1" customWidth="1"/>
    <col min="18" max="18" width="13.36328125" bestFit="1" customWidth="1"/>
    <col min="19" max="20" width="14.81640625" bestFit="1" customWidth="1"/>
  </cols>
  <sheetData>
    <row r="1" spans="1:19" x14ac:dyDescent="0.35">
      <c r="A1" s="2" t="s">
        <v>0</v>
      </c>
      <c r="B1" s="2" t="s">
        <v>1</v>
      </c>
      <c r="C1" s="2" t="s">
        <v>20</v>
      </c>
      <c r="E1" s="2" t="s">
        <v>1</v>
      </c>
      <c r="F1" s="3" t="s">
        <v>3</v>
      </c>
      <c r="G1" s="3" t="s">
        <v>4</v>
      </c>
      <c r="H1" s="3" t="s">
        <v>5</v>
      </c>
      <c r="I1" s="3" t="s">
        <v>16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13</v>
      </c>
      <c r="Q1" s="3" t="s">
        <v>12</v>
      </c>
      <c r="R1" s="3" t="s">
        <v>14</v>
      </c>
      <c r="S1" s="3" t="s">
        <v>15</v>
      </c>
    </row>
    <row r="2" spans="1:19" x14ac:dyDescent="0.35">
      <c r="A2" s="1" t="s">
        <v>3</v>
      </c>
      <c r="B2" s="3">
        <v>2018</v>
      </c>
      <c r="C2" s="11">
        <f>F2</f>
        <v>578</v>
      </c>
      <c r="E2" s="3">
        <v>2018</v>
      </c>
      <c r="F2" s="3">
        <f t="shared" ref="F2:S2" si="0">F12+F20+F28</f>
        <v>578</v>
      </c>
      <c r="G2" s="3">
        <f t="shared" si="0"/>
        <v>385</v>
      </c>
      <c r="H2" s="3">
        <f t="shared" si="0"/>
        <v>607</v>
      </c>
      <c r="I2" s="3">
        <f t="shared" si="0"/>
        <v>250</v>
      </c>
      <c r="J2" s="3">
        <f t="shared" si="0"/>
        <v>628</v>
      </c>
      <c r="K2" s="3">
        <f t="shared" si="0"/>
        <v>708</v>
      </c>
      <c r="L2" s="3">
        <f t="shared" si="0"/>
        <v>599</v>
      </c>
      <c r="M2" s="3">
        <f t="shared" si="0"/>
        <v>539</v>
      </c>
      <c r="N2" s="3">
        <f t="shared" si="0"/>
        <v>321</v>
      </c>
      <c r="O2" s="3">
        <f t="shared" si="0"/>
        <v>386</v>
      </c>
      <c r="P2" s="3">
        <f t="shared" si="0"/>
        <v>155</v>
      </c>
      <c r="Q2" s="3">
        <f t="shared" si="0"/>
        <v>583</v>
      </c>
      <c r="R2" s="3">
        <f t="shared" si="0"/>
        <v>294</v>
      </c>
      <c r="S2" s="3">
        <f t="shared" si="0"/>
        <v>146</v>
      </c>
    </row>
    <row r="3" spans="1:19" x14ac:dyDescent="0.35">
      <c r="A3" s="1" t="s">
        <v>3</v>
      </c>
      <c r="B3" s="3">
        <v>2019</v>
      </c>
      <c r="C3" s="11">
        <f>F3</f>
        <v>579</v>
      </c>
      <c r="E3" s="3">
        <v>2019</v>
      </c>
      <c r="F3" s="3">
        <f t="shared" ref="F3:S3" si="1">F13+F21+F29</f>
        <v>579</v>
      </c>
      <c r="G3" s="3">
        <f t="shared" si="1"/>
        <v>385</v>
      </c>
      <c r="H3" s="3">
        <f t="shared" si="1"/>
        <v>607</v>
      </c>
      <c r="I3" s="3">
        <f t="shared" si="1"/>
        <v>251</v>
      </c>
      <c r="J3" s="3">
        <f t="shared" si="1"/>
        <v>628</v>
      </c>
      <c r="K3" s="3">
        <f t="shared" si="1"/>
        <v>709</v>
      </c>
      <c r="L3" s="3">
        <f t="shared" si="1"/>
        <v>600</v>
      </c>
      <c r="M3" s="3">
        <f t="shared" si="1"/>
        <v>538</v>
      </c>
      <c r="N3" s="3">
        <f t="shared" si="1"/>
        <v>321</v>
      </c>
      <c r="O3" s="3">
        <f t="shared" si="1"/>
        <v>388</v>
      </c>
      <c r="P3" s="3">
        <f t="shared" si="1"/>
        <v>156</v>
      </c>
      <c r="Q3" s="3">
        <f t="shared" si="1"/>
        <v>587</v>
      </c>
      <c r="R3" s="3">
        <f t="shared" si="1"/>
        <v>296</v>
      </c>
      <c r="S3" s="3">
        <f t="shared" si="1"/>
        <v>145</v>
      </c>
    </row>
    <row r="4" spans="1:19" x14ac:dyDescent="0.35">
      <c r="A4" s="1" t="s">
        <v>3</v>
      </c>
      <c r="B4" s="3">
        <v>2020</v>
      </c>
      <c r="C4" s="11">
        <f>F4</f>
        <v>568</v>
      </c>
      <c r="E4" s="3">
        <v>2020</v>
      </c>
      <c r="F4" s="3">
        <f t="shared" ref="F4:S4" si="2">F14+F22+F30</f>
        <v>568</v>
      </c>
      <c r="G4" s="3">
        <f t="shared" si="2"/>
        <v>388</v>
      </c>
      <c r="H4" s="3">
        <f t="shared" si="2"/>
        <v>598</v>
      </c>
      <c r="I4" s="3">
        <f t="shared" si="2"/>
        <v>251</v>
      </c>
      <c r="J4" s="3">
        <f t="shared" si="2"/>
        <v>626</v>
      </c>
      <c r="K4" s="3">
        <f t="shared" si="2"/>
        <v>715</v>
      </c>
      <c r="L4" s="3">
        <f t="shared" si="2"/>
        <v>604</v>
      </c>
      <c r="M4" s="3">
        <f t="shared" si="2"/>
        <v>538</v>
      </c>
      <c r="N4" s="3">
        <f t="shared" si="2"/>
        <v>320</v>
      </c>
      <c r="O4" s="3">
        <f t="shared" si="2"/>
        <v>389</v>
      </c>
      <c r="P4" s="3">
        <f t="shared" si="2"/>
        <v>156</v>
      </c>
      <c r="Q4" s="3">
        <f t="shared" si="2"/>
        <v>589</v>
      </c>
      <c r="R4" s="3">
        <f t="shared" si="2"/>
        <v>298</v>
      </c>
      <c r="S4" s="3">
        <f t="shared" si="2"/>
        <v>147</v>
      </c>
    </row>
    <row r="5" spans="1:19" x14ac:dyDescent="0.35">
      <c r="A5" s="1" t="s">
        <v>3</v>
      </c>
      <c r="B5" s="3">
        <v>2021</v>
      </c>
      <c r="C5" s="11">
        <f>F5</f>
        <v>571</v>
      </c>
      <c r="E5" s="3">
        <v>2021</v>
      </c>
      <c r="F5" s="3">
        <f t="shared" ref="F5:S5" si="3">F15+F23+F31</f>
        <v>571</v>
      </c>
      <c r="G5" s="3">
        <f t="shared" si="3"/>
        <v>388</v>
      </c>
      <c r="H5" s="3">
        <f t="shared" si="3"/>
        <v>599</v>
      </c>
      <c r="I5" s="3">
        <f t="shared" si="3"/>
        <v>248</v>
      </c>
      <c r="J5" s="3">
        <f t="shared" si="3"/>
        <v>627</v>
      </c>
      <c r="K5" s="3">
        <f t="shared" si="3"/>
        <v>724</v>
      </c>
      <c r="L5" s="3">
        <f t="shared" si="3"/>
        <v>614</v>
      </c>
      <c r="M5" s="3">
        <f t="shared" si="3"/>
        <v>538</v>
      </c>
      <c r="N5" s="3">
        <f t="shared" si="3"/>
        <v>321</v>
      </c>
      <c r="O5" s="3">
        <f t="shared" si="3"/>
        <v>390</v>
      </c>
      <c r="P5" s="3">
        <f t="shared" si="3"/>
        <v>157</v>
      </c>
      <c r="Q5" s="3">
        <f t="shared" si="3"/>
        <v>597</v>
      </c>
      <c r="R5" s="3">
        <f t="shared" si="3"/>
        <v>303</v>
      </c>
      <c r="S5" s="3">
        <f t="shared" si="3"/>
        <v>154</v>
      </c>
    </row>
    <row r="6" spans="1:19" x14ac:dyDescent="0.35">
      <c r="A6" s="1" t="s">
        <v>3</v>
      </c>
      <c r="B6" s="3">
        <v>2022</v>
      </c>
      <c r="C6" s="11">
        <f>F6</f>
        <v>571</v>
      </c>
      <c r="E6" s="3">
        <v>2022</v>
      </c>
      <c r="F6" s="3">
        <f t="shared" ref="F6:S6" si="4">F16+F24+F32</f>
        <v>571</v>
      </c>
      <c r="G6" s="3">
        <f t="shared" si="4"/>
        <v>389</v>
      </c>
      <c r="H6" s="3">
        <f t="shared" si="4"/>
        <v>600</v>
      </c>
      <c r="I6" s="3">
        <f t="shared" si="4"/>
        <v>249</v>
      </c>
      <c r="J6" s="3">
        <f t="shared" si="4"/>
        <v>628</v>
      </c>
      <c r="K6" s="3">
        <f t="shared" si="4"/>
        <v>731</v>
      </c>
      <c r="L6" s="3">
        <f t="shared" si="4"/>
        <v>621</v>
      </c>
      <c r="M6" s="3">
        <f t="shared" si="4"/>
        <v>539</v>
      </c>
      <c r="N6" s="3">
        <f t="shared" si="4"/>
        <v>321</v>
      </c>
      <c r="O6" s="3">
        <f t="shared" si="4"/>
        <v>392</v>
      </c>
      <c r="P6" s="3">
        <f t="shared" si="4"/>
        <v>159</v>
      </c>
      <c r="Q6" s="3">
        <f t="shared" si="4"/>
        <v>601</v>
      </c>
      <c r="R6" s="3">
        <f t="shared" si="4"/>
        <v>304</v>
      </c>
      <c r="S6" s="3">
        <f t="shared" si="4"/>
        <v>155</v>
      </c>
    </row>
    <row r="7" spans="1:19" x14ac:dyDescent="0.35">
      <c r="A7" s="1" t="s">
        <v>4</v>
      </c>
      <c r="B7" s="3">
        <v>2018</v>
      </c>
      <c r="C7" s="11">
        <f>G2</f>
        <v>385</v>
      </c>
      <c r="E7" s="3" t="s">
        <v>31</v>
      </c>
      <c r="F7" s="3">
        <f t="shared" ref="F7:S7" si="5">SUM(F2:F6)</f>
        <v>2867</v>
      </c>
      <c r="G7" s="3">
        <f t="shared" si="5"/>
        <v>1935</v>
      </c>
      <c r="H7" s="3">
        <f t="shared" si="5"/>
        <v>3011</v>
      </c>
      <c r="I7" s="3">
        <f t="shared" si="5"/>
        <v>1249</v>
      </c>
      <c r="J7" s="3">
        <f t="shared" si="5"/>
        <v>3137</v>
      </c>
      <c r="K7" s="3">
        <f t="shared" si="5"/>
        <v>3587</v>
      </c>
      <c r="L7" s="3">
        <f t="shared" si="5"/>
        <v>3038</v>
      </c>
      <c r="M7" s="3">
        <f t="shared" si="5"/>
        <v>2692</v>
      </c>
      <c r="N7" s="3">
        <f t="shared" si="5"/>
        <v>1604</v>
      </c>
      <c r="O7" s="3">
        <f t="shared" si="5"/>
        <v>1945</v>
      </c>
      <c r="P7" s="3">
        <f t="shared" si="5"/>
        <v>783</v>
      </c>
      <c r="Q7" s="3">
        <f t="shared" si="5"/>
        <v>2957</v>
      </c>
      <c r="R7" s="3">
        <f t="shared" si="5"/>
        <v>1495</v>
      </c>
      <c r="S7" s="3">
        <f t="shared" si="5"/>
        <v>747</v>
      </c>
    </row>
    <row r="8" spans="1:19" x14ac:dyDescent="0.35">
      <c r="A8" s="1" t="s">
        <v>4</v>
      </c>
      <c r="B8" s="3">
        <v>2019</v>
      </c>
      <c r="C8" s="11">
        <f>G3</f>
        <v>385</v>
      </c>
    </row>
    <row r="9" spans="1:19" x14ac:dyDescent="0.35">
      <c r="A9" s="1" t="s">
        <v>4</v>
      </c>
      <c r="B9" s="3">
        <v>2020</v>
      </c>
      <c r="C9" s="11">
        <f>G4</f>
        <v>388</v>
      </c>
      <c r="E9" s="4" t="s">
        <v>27</v>
      </c>
    </row>
    <row r="10" spans="1:19" x14ac:dyDescent="0.35">
      <c r="A10" s="1" t="s">
        <v>4</v>
      </c>
      <c r="B10" s="3">
        <v>2021</v>
      </c>
      <c r="C10" s="11">
        <f>G5</f>
        <v>388</v>
      </c>
      <c r="E10" s="4" t="s">
        <v>28</v>
      </c>
    </row>
    <row r="11" spans="1:19" x14ac:dyDescent="0.35">
      <c r="A11" s="1" t="s">
        <v>4</v>
      </c>
      <c r="B11" s="3">
        <v>2022</v>
      </c>
      <c r="C11" s="11">
        <f>G6</f>
        <v>389</v>
      </c>
      <c r="E11" s="3" t="s">
        <v>1</v>
      </c>
      <c r="F11" s="3" t="s">
        <v>3</v>
      </c>
      <c r="G11" s="3" t="s">
        <v>4</v>
      </c>
      <c r="H11" s="3" t="s">
        <v>5</v>
      </c>
      <c r="I11" s="3" t="s">
        <v>16</v>
      </c>
      <c r="J11" s="3" t="s">
        <v>6</v>
      </c>
      <c r="K11" s="3" t="s">
        <v>7</v>
      </c>
      <c r="L11" s="3" t="s">
        <v>8</v>
      </c>
      <c r="M11" s="3" t="s">
        <v>9</v>
      </c>
      <c r="N11" s="3" t="s">
        <v>10</v>
      </c>
      <c r="O11" s="3" t="s">
        <v>11</v>
      </c>
      <c r="P11" s="3" t="s">
        <v>13</v>
      </c>
      <c r="Q11" s="3" t="s">
        <v>12</v>
      </c>
      <c r="R11" s="3" t="s">
        <v>14</v>
      </c>
      <c r="S11" s="3" t="s">
        <v>15</v>
      </c>
    </row>
    <row r="12" spans="1:19" x14ac:dyDescent="0.35">
      <c r="A12" s="1" t="s">
        <v>5</v>
      </c>
      <c r="B12" s="3">
        <v>2018</v>
      </c>
      <c r="C12" s="11">
        <f>H2</f>
        <v>607</v>
      </c>
      <c r="E12" s="3">
        <v>2018</v>
      </c>
      <c r="F12" s="3">
        <v>413</v>
      </c>
      <c r="G12" s="3">
        <v>273</v>
      </c>
      <c r="H12" s="3">
        <v>456</v>
      </c>
      <c r="I12" s="3">
        <v>189</v>
      </c>
      <c r="J12" s="3">
        <v>475</v>
      </c>
      <c r="K12" s="3">
        <v>534</v>
      </c>
      <c r="L12" s="3">
        <v>440</v>
      </c>
      <c r="M12" s="3">
        <v>407</v>
      </c>
      <c r="N12" s="3">
        <v>237</v>
      </c>
      <c r="O12" s="3">
        <v>256</v>
      </c>
      <c r="P12" s="3">
        <v>103</v>
      </c>
      <c r="Q12" s="3">
        <v>376</v>
      </c>
      <c r="R12" s="3">
        <v>165</v>
      </c>
      <c r="S12" s="3">
        <v>95</v>
      </c>
    </row>
    <row r="13" spans="1:19" x14ac:dyDescent="0.35">
      <c r="A13" s="1" t="s">
        <v>5</v>
      </c>
      <c r="B13" s="3">
        <v>2019</v>
      </c>
      <c r="C13" s="11">
        <f>H3</f>
        <v>607</v>
      </c>
      <c r="E13" s="3">
        <v>2019</v>
      </c>
      <c r="F13" s="3">
        <v>414</v>
      </c>
      <c r="G13" s="3">
        <v>274</v>
      </c>
      <c r="H13" s="3">
        <v>456</v>
      </c>
      <c r="I13" s="3">
        <v>190</v>
      </c>
      <c r="J13" s="3">
        <v>475</v>
      </c>
      <c r="K13" s="3">
        <v>535</v>
      </c>
      <c r="L13" s="3">
        <v>441</v>
      </c>
      <c r="M13" s="3">
        <v>407</v>
      </c>
      <c r="N13" s="3">
        <v>237</v>
      </c>
      <c r="O13" s="3">
        <v>256</v>
      </c>
      <c r="P13" s="3">
        <v>103</v>
      </c>
      <c r="Q13" s="3">
        <v>377</v>
      </c>
      <c r="R13" s="3">
        <v>166</v>
      </c>
      <c r="S13" s="3">
        <v>95</v>
      </c>
    </row>
    <row r="14" spans="1:19" x14ac:dyDescent="0.35">
      <c r="A14" s="1" t="s">
        <v>5</v>
      </c>
      <c r="B14" s="3">
        <v>2020</v>
      </c>
      <c r="C14" s="11">
        <f>H4</f>
        <v>598</v>
      </c>
      <c r="E14" s="3">
        <v>2020</v>
      </c>
      <c r="F14" s="3">
        <v>403</v>
      </c>
      <c r="G14" s="3">
        <v>274</v>
      </c>
      <c r="H14" s="3">
        <v>446</v>
      </c>
      <c r="I14" s="3">
        <v>190</v>
      </c>
      <c r="J14" s="3">
        <v>475</v>
      </c>
      <c r="K14" s="3">
        <v>534</v>
      </c>
      <c r="L14" s="3">
        <v>441</v>
      </c>
      <c r="M14" s="3">
        <v>407</v>
      </c>
      <c r="N14" s="3">
        <v>237</v>
      </c>
      <c r="O14" s="3">
        <v>256</v>
      </c>
      <c r="P14" s="3">
        <v>103</v>
      </c>
      <c r="Q14" s="3">
        <v>377</v>
      </c>
      <c r="R14" s="3">
        <v>167</v>
      </c>
      <c r="S14" s="3">
        <v>95</v>
      </c>
    </row>
    <row r="15" spans="1:19" x14ac:dyDescent="0.35">
      <c r="A15" s="1" t="s">
        <v>5</v>
      </c>
      <c r="B15" s="3">
        <v>2021</v>
      </c>
      <c r="C15" s="11">
        <f>H5</f>
        <v>599</v>
      </c>
      <c r="E15" s="3">
        <v>2021</v>
      </c>
      <c r="F15" s="3">
        <v>405</v>
      </c>
      <c r="G15" s="3">
        <v>274</v>
      </c>
      <c r="H15" s="3">
        <v>448</v>
      </c>
      <c r="I15" s="3">
        <v>188</v>
      </c>
      <c r="J15" s="3">
        <v>475</v>
      </c>
      <c r="K15" s="3">
        <v>537</v>
      </c>
      <c r="L15" s="3">
        <v>447</v>
      </c>
      <c r="M15" s="3">
        <v>407</v>
      </c>
      <c r="N15" s="3">
        <v>237</v>
      </c>
      <c r="O15" s="3">
        <v>256</v>
      </c>
      <c r="P15" s="3">
        <v>104</v>
      </c>
      <c r="Q15" s="3">
        <v>380</v>
      </c>
      <c r="R15" s="3">
        <v>169</v>
      </c>
      <c r="S15" s="3">
        <v>101</v>
      </c>
    </row>
    <row r="16" spans="1:19" x14ac:dyDescent="0.35">
      <c r="A16" s="1" t="s">
        <v>5</v>
      </c>
      <c r="B16" s="3">
        <v>2022</v>
      </c>
      <c r="C16" s="11">
        <f>H6</f>
        <v>600</v>
      </c>
      <c r="E16" s="3">
        <v>2022</v>
      </c>
      <c r="F16" s="3">
        <v>405</v>
      </c>
      <c r="G16" s="3">
        <v>274</v>
      </c>
      <c r="H16" s="3">
        <v>448</v>
      </c>
      <c r="I16" s="3">
        <v>188</v>
      </c>
      <c r="J16" s="3">
        <v>475</v>
      </c>
      <c r="K16" s="3">
        <v>540</v>
      </c>
      <c r="L16" s="3">
        <v>453</v>
      </c>
      <c r="M16" s="3">
        <v>407</v>
      </c>
      <c r="N16" s="3">
        <v>237</v>
      </c>
      <c r="O16" s="3">
        <v>256</v>
      </c>
      <c r="P16" s="3">
        <v>105</v>
      </c>
      <c r="Q16" s="3">
        <v>379</v>
      </c>
      <c r="R16" s="3">
        <v>169</v>
      </c>
      <c r="S16" s="3">
        <v>102</v>
      </c>
    </row>
    <row r="17" spans="1:19" x14ac:dyDescent="0.35">
      <c r="A17" s="1" t="s">
        <v>16</v>
      </c>
      <c r="B17" s="3">
        <v>2018</v>
      </c>
      <c r="C17" s="11">
        <f>I2</f>
        <v>250</v>
      </c>
      <c r="E17" s="3" t="s">
        <v>31</v>
      </c>
      <c r="F17" s="3">
        <f t="shared" ref="F17:S17" si="6">SUM(F12:F16)</f>
        <v>2040</v>
      </c>
      <c r="G17" s="3">
        <f t="shared" si="6"/>
        <v>1369</v>
      </c>
      <c r="H17" s="3">
        <f t="shared" si="6"/>
        <v>2254</v>
      </c>
      <c r="I17" s="3">
        <f t="shared" si="6"/>
        <v>945</v>
      </c>
      <c r="J17" s="3">
        <f t="shared" si="6"/>
        <v>2375</v>
      </c>
      <c r="K17" s="3">
        <f t="shared" si="6"/>
        <v>2680</v>
      </c>
      <c r="L17" s="3">
        <f t="shared" si="6"/>
        <v>2222</v>
      </c>
      <c r="M17" s="3">
        <f t="shared" si="6"/>
        <v>2035</v>
      </c>
      <c r="N17" s="3">
        <f t="shared" si="6"/>
        <v>1185</v>
      </c>
      <c r="O17" s="3">
        <f t="shared" si="6"/>
        <v>1280</v>
      </c>
      <c r="P17" s="3">
        <f t="shared" si="6"/>
        <v>518</v>
      </c>
      <c r="Q17" s="3">
        <f t="shared" si="6"/>
        <v>1889</v>
      </c>
      <c r="R17" s="3">
        <f t="shared" si="6"/>
        <v>836</v>
      </c>
      <c r="S17" s="3">
        <f t="shared" si="6"/>
        <v>488</v>
      </c>
    </row>
    <row r="18" spans="1:19" x14ac:dyDescent="0.35">
      <c r="A18" s="1" t="s">
        <v>16</v>
      </c>
      <c r="B18" s="3">
        <v>2019</v>
      </c>
      <c r="C18" s="11">
        <f>I3</f>
        <v>251</v>
      </c>
      <c r="E18" s="4" t="s">
        <v>29</v>
      </c>
    </row>
    <row r="19" spans="1:19" x14ac:dyDescent="0.35">
      <c r="A19" s="1" t="s">
        <v>16</v>
      </c>
      <c r="B19" s="3">
        <v>2020</v>
      </c>
      <c r="C19" s="11">
        <f>I4</f>
        <v>251</v>
      </c>
      <c r="E19" s="3" t="s">
        <v>1</v>
      </c>
      <c r="F19" s="3" t="s">
        <v>3</v>
      </c>
      <c r="G19" s="3" t="s">
        <v>4</v>
      </c>
      <c r="H19" s="3" t="s">
        <v>5</v>
      </c>
      <c r="I19" s="3" t="s">
        <v>16</v>
      </c>
      <c r="J19" s="3" t="s">
        <v>6</v>
      </c>
      <c r="K19" s="3" t="s">
        <v>7</v>
      </c>
      <c r="L19" s="3" t="s">
        <v>8</v>
      </c>
      <c r="M19" s="3" t="s">
        <v>9</v>
      </c>
      <c r="N19" s="3" t="s">
        <v>10</v>
      </c>
      <c r="O19" s="3" t="s">
        <v>11</v>
      </c>
      <c r="P19" s="3" t="s">
        <v>13</v>
      </c>
      <c r="Q19" s="3" t="s">
        <v>12</v>
      </c>
      <c r="R19" s="3" t="s">
        <v>14</v>
      </c>
      <c r="S19" s="3" t="s">
        <v>15</v>
      </c>
    </row>
    <row r="20" spans="1:19" x14ac:dyDescent="0.35">
      <c r="A20" s="1" t="s">
        <v>16</v>
      </c>
      <c r="B20" s="3">
        <v>2021</v>
      </c>
      <c r="C20" s="11">
        <f>I5</f>
        <v>248</v>
      </c>
      <c r="E20" s="3">
        <v>2018</v>
      </c>
      <c r="F20" s="3">
        <v>128</v>
      </c>
      <c r="G20" s="3">
        <v>82</v>
      </c>
      <c r="H20" s="3">
        <v>106</v>
      </c>
      <c r="I20" s="3">
        <v>49</v>
      </c>
      <c r="J20" s="3">
        <v>125</v>
      </c>
      <c r="K20" s="3">
        <v>140</v>
      </c>
      <c r="L20" s="3">
        <v>122</v>
      </c>
      <c r="M20" s="3">
        <v>101</v>
      </c>
      <c r="N20" s="3">
        <v>63</v>
      </c>
      <c r="O20" s="3">
        <v>109</v>
      </c>
      <c r="P20" s="3">
        <v>39</v>
      </c>
      <c r="Q20" s="3">
        <v>147</v>
      </c>
      <c r="R20" s="3">
        <v>78</v>
      </c>
      <c r="S20" s="3">
        <v>34</v>
      </c>
    </row>
    <row r="21" spans="1:19" x14ac:dyDescent="0.35">
      <c r="A21" s="1" t="s">
        <v>16</v>
      </c>
      <c r="B21" s="3">
        <v>2022</v>
      </c>
      <c r="C21" s="11">
        <f>I6</f>
        <v>249</v>
      </c>
      <c r="E21" s="3">
        <v>2019</v>
      </c>
      <c r="F21" s="3">
        <v>129</v>
      </c>
      <c r="G21" s="3">
        <v>81</v>
      </c>
      <c r="H21" s="3">
        <v>106</v>
      </c>
      <c r="I21" s="3">
        <v>49</v>
      </c>
      <c r="J21" s="3">
        <v>125</v>
      </c>
      <c r="K21" s="3">
        <v>140</v>
      </c>
      <c r="L21" s="3">
        <v>121</v>
      </c>
      <c r="M21" s="3">
        <v>100</v>
      </c>
      <c r="N21" s="3">
        <v>63</v>
      </c>
      <c r="O21" s="3">
        <v>111</v>
      </c>
      <c r="P21" s="3">
        <v>40</v>
      </c>
      <c r="Q21" s="3">
        <v>148</v>
      </c>
      <c r="R21" s="3">
        <v>77</v>
      </c>
      <c r="S21" s="3">
        <v>33</v>
      </c>
    </row>
    <row r="22" spans="1:19" x14ac:dyDescent="0.35">
      <c r="A22" s="1" t="s">
        <v>6</v>
      </c>
      <c r="B22" s="3">
        <v>2018</v>
      </c>
      <c r="C22" s="11">
        <f>J2</f>
        <v>628</v>
      </c>
      <c r="E22" s="3">
        <v>2020</v>
      </c>
      <c r="F22" s="3">
        <v>129</v>
      </c>
      <c r="G22" s="3">
        <v>84</v>
      </c>
      <c r="H22" s="3">
        <v>107</v>
      </c>
      <c r="I22" s="3">
        <v>49</v>
      </c>
      <c r="J22" s="3">
        <v>122</v>
      </c>
      <c r="K22" s="3">
        <v>145</v>
      </c>
      <c r="L22" s="3">
        <v>125</v>
      </c>
      <c r="M22" s="3">
        <v>100</v>
      </c>
      <c r="N22" s="3">
        <v>62</v>
      </c>
      <c r="O22" s="3">
        <v>112</v>
      </c>
      <c r="P22" s="3">
        <v>40</v>
      </c>
      <c r="Q22" s="3">
        <v>149</v>
      </c>
      <c r="R22" s="3">
        <v>78</v>
      </c>
      <c r="S22" s="3">
        <v>34</v>
      </c>
    </row>
    <row r="23" spans="1:19" x14ac:dyDescent="0.35">
      <c r="A23" s="1" t="s">
        <v>6</v>
      </c>
      <c r="B23" s="3">
        <v>2019</v>
      </c>
      <c r="C23" s="11">
        <f>J3</f>
        <v>628</v>
      </c>
      <c r="E23" s="3">
        <v>2021</v>
      </c>
      <c r="F23" s="3">
        <v>130</v>
      </c>
      <c r="G23" s="3">
        <v>84</v>
      </c>
      <c r="H23" s="3">
        <v>106</v>
      </c>
      <c r="I23" s="3">
        <v>48</v>
      </c>
      <c r="J23" s="3">
        <v>122</v>
      </c>
      <c r="K23" s="3">
        <v>151</v>
      </c>
      <c r="L23" s="3">
        <v>129</v>
      </c>
      <c r="M23" s="3">
        <v>100</v>
      </c>
      <c r="N23" s="3">
        <v>63</v>
      </c>
      <c r="O23" s="3">
        <v>113</v>
      </c>
      <c r="P23" s="3">
        <v>40</v>
      </c>
      <c r="Q23" s="3">
        <v>152</v>
      </c>
      <c r="R23" s="3">
        <v>80</v>
      </c>
      <c r="S23" s="3">
        <v>35</v>
      </c>
    </row>
    <row r="24" spans="1:19" x14ac:dyDescent="0.35">
      <c r="A24" s="1" t="s">
        <v>6</v>
      </c>
      <c r="B24" s="3">
        <v>2020</v>
      </c>
      <c r="C24" s="11">
        <f>J4</f>
        <v>626</v>
      </c>
      <c r="E24" s="3">
        <v>2022</v>
      </c>
      <c r="F24" s="3">
        <v>130</v>
      </c>
      <c r="G24" s="3">
        <v>85</v>
      </c>
      <c r="H24" s="3">
        <v>106</v>
      </c>
      <c r="I24" s="3">
        <v>48</v>
      </c>
      <c r="J24" s="3">
        <v>122</v>
      </c>
      <c r="K24" s="3">
        <v>155</v>
      </c>
      <c r="L24" s="3">
        <v>129</v>
      </c>
      <c r="M24" s="3">
        <v>101</v>
      </c>
      <c r="N24" s="3">
        <v>63</v>
      </c>
      <c r="O24" s="3">
        <v>114</v>
      </c>
      <c r="P24" s="3">
        <v>41</v>
      </c>
      <c r="Q24" s="3">
        <v>154</v>
      </c>
      <c r="R24" s="3">
        <v>80</v>
      </c>
      <c r="S24" s="3">
        <v>35</v>
      </c>
    </row>
    <row r="25" spans="1:19" x14ac:dyDescent="0.35">
      <c r="A25" s="1" t="s">
        <v>6</v>
      </c>
      <c r="B25" s="3">
        <v>2021</v>
      </c>
      <c r="C25" s="11">
        <f>J5</f>
        <v>627</v>
      </c>
      <c r="E25" s="3" t="s">
        <v>31</v>
      </c>
      <c r="F25" s="3">
        <f t="shared" ref="F25:S25" si="7">SUM(F20:F24)</f>
        <v>646</v>
      </c>
      <c r="G25" s="3">
        <f t="shared" si="7"/>
        <v>416</v>
      </c>
      <c r="H25" s="3">
        <f t="shared" si="7"/>
        <v>531</v>
      </c>
      <c r="I25" s="3">
        <f t="shared" si="7"/>
        <v>243</v>
      </c>
      <c r="J25" s="3">
        <f t="shared" si="7"/>
        <v>616</v>
      </c>
      <c r="K25" s="3">
        <f t="shared" si="7"/>
        <v>731</v>
      </c>
      <c r="L25" s="3">
        <f t="shared" si="7"/>
        <v>626</v>
      </c>
      <c r="M25" s="3">
        <f t="shared" si="7"/>
        <v>502</v>
      </c>
      <c r="N25" s="3">
        <f t="shared" si="7"/>
        <v>314</v>
      </c>
      <c r="O25" s="3">
        <f t="shared" si="7"/>
        <v>559</v>
      </c>
      <c r="P25" s="3">
        <f t="shared" si="7"/>
        <v>200</v>
      </c>
      <c r="Q25" s="3">
        <f t="shared" si="7"/>
        <v>750</v>
      </c>
      <c r="R25" s="3">
        <f t="shared" si="7"/>
        <v>393</v>
      </c>
      <c r="S25" s="3">
        <f t="shared" si="7"/>
        <v>171</v>
      </c>
    </row>
    <row r="26" spans="1:19" x14ac:dyDescent="0.35">
      <c r="A26" s="1" t="s">
        <v>6</v>
      </c>
      <c r="B26" s="3">
        <v>2022</v>
      </c>
      <c r="C26" s="11">
        <f>J6</f>
        <v>628</v>
      </c>
      <c r="E26" s="4" t="s">
        <v>30</v>
      </c>
    </row>
    <row r="27" spans="1:19" x14ac:dyDescent="0.35">
      <c r="A27" s="1" t="s">
        <v>7</v>
      </c>
      <c r="B27" s="3">
        <v>2018</v>
      </c>
      <c r="C27" s="11">
        <f>K2</f>
        <v>708</v>
      </c>
      <c r="E27" s="3" t="s">
        <v>1</v>
      </c>
      <c r="F27" s="3" t="s">
        <v>3</v>
      </c>
      <c r="G27" s="3" t="s">
        <v>4</v>
      </c>
      <c r="H27" s="3" t="s">
        <v>5</v>
      </c>
      <c r="I27" s="3" t="s">
        <v>16</v>
      </c>
      <c r="J27" s="3" t="s">
        <v>6</v>
      </c>
      <c r="K27" s="3" t="s">
        <v>7</v>
      </c>
      <c r="L27" s="3" t="s">
        <v>8</v>
      </c>
      <c r="M27" s="3" t="s">
        <v>9</v>
      </c>
      <c r="N27" s="3" t="s">
        <v>10</v>
      </c>
      <c r="O27" s="3" t="s">
        <v>11</v>
      </c>
      <c r="P27" s="3" t="s">
        <v>13</v>
      </c>
      <c r="Q27" s="3" t="s">
        <v>12</v>
      </c>
      <c r="R27" s="3" t="s">
        <v>14</v>
      </c>
      <c r="S27" s="3" t="s">
        <v>15</v>
      </c>
    </row>
    <row r="28" spans="1:19" x14ac:dyDescent="0.35">
      <c r="A28" s="1" t="s">
        <v>7</v>
      </c>
      <c r="B28" s="3">
        <v>2019</v>
      </c>
      <c r="C28" s="11">
        <f>K3</f>
        <v>709</v>
      </c>
      <c r="E28" s="3">
        <v>2018</v>
      </c>
      <c r="F28" s="3">
        <v>37</v>
      </c>
      <c r="G28" s="3">
        <v>30</v>
      </c>
      <c r="H28" s="3">
        <v>45</v>
      </c>
      <c r="I28" s="3">
        <v>12</v>
      </c>
      <c r="J28" s="3">
        <v>28</v>
      </c>
      <c r="K28" s="3">
        <v>34</v>
      </c>
      <c r="L28" s="3">
        <v>37</v>
      </c>
      <c r="M28" s="3">
        <v>31</v>
      </c>
      <c r="N28" s="3">
        <v>21</v>
      </c>
      <c r="O28" s="3">
        <v>21</v>
      </c>
      <c r="P28" s="3">
        <v>13</v>
      </c>
      <c r="Q28" s="3">
        <v>60</v>
      </c>
      <c r="R28" s="3">
        <v>51</v>
      </c>
      <c r="S28" s="3">
        <v>17</v>
      </c>
    </row>
    <row r="29" spans="1:19" x14ac:dyDescent="0.35">
      <c r="A29" s="1" t="s">
        <v>7</v>
      </c>
      <c r="B29" s="3">
        <v>2020</v>
      </c>
      <c r="C29" s="11">
        <f>K4</f>
        <v>715</v>
      </c>
      <c r="E29" s="3">
        <v>2019</v>
      </c>
      <c r="F29" s="3">
        <v>36</v>
      </c>
      <c r="G29" s="3">
        <v>30</v>
      </c>
      <c r="H29" s="3">
        <v>45</v>
      </c>
      <c r="I29" s="3">
        <v>12</v>
      </c>
      <c r="J29" s="3">
        <v>28</v>
      </c>
      <c r="K29" s="3">
        <v>34</v>
      </c>
      <c r="L29" s="3">
        <v>38</v>
      </c>
      <c r="M29" s="3">
        <v>31</v>
      </c>
      <c r="N29" s="3">
        <v>21</v>
      </c>
      <c r="O29" s="3">
        <v>21</v>
      </c>
      <c r="P29" s="3">
        <v>13</v>
      </c>
      <c r="Q29" s="3">
        <v>62</v>
      </c>
      <c r="R29" s="3">
        <v>53</v>
      </c>
      <c r="S29" s="3">
        <v>17</v>
      </c>
    </row>
    <row r="30" spans="1:19" x14ac:dyDescent="0.35">
      <c r="A30" s="1" t="s">
        <v>7</v>
      </c>
      <c r="B30" s="3">
        <v>2021</v>
      </c>
      <c r="C30" s="11">
        <f>K5</f>
        <v>724</v>
      </c>
      <c r="E30" s="3">
        <v>2020</v>
      </c>
      <c r="F30" s="3">
        <v>36</v>
      </c>
      <c r="G30" s="3">
        <v>30</v>
      </c>
      <c r="H30" s="3">
        <v>45</v>
      </c>
      <c r="I30" s="3">
        <v>12</v>
      </c>
      <c r="J30" s="3">
        <v>29</v>
      </c>
      <c r="K30" s="3">
        <v>36</v>
      </c>
      <c r="L30" s="3">
        <v>38</v>
      </c>
      <c r="M30" s="3">
        <v>31</v>
      </c>
      <c r="N30" s="3">
        <v>21</v>
      </c>
      <c r="O30" s="3">
        <v>21</v>
      </c>
      <c r="P30" s="3">
        <v>13</v>
      </c>
      <c r="Q30" s="3">
        <v>63</v>
      </c>
      <c r="R30" s="3">
        <v>53</v>
      </c>
      <c r="S30" s="3">
        <v>18</v>
      </c>
    </row>
    <row r="31" spans="1:19" x14ac:dyDescent="0.35">
      <c r="A31" s="1" t="s">
        <v>7</v>
      </c>
      <c r="B31" s="3">
        <v>2022</v>
      </c>
      <c r="C31" s="11">
        <f>K6</f>
        <v>731</v>
      </c>
      <c r="E31" s="3">
        <v>2021</v>
      </c>
      <c r="F31" s="3">
        <v>36</v>
      </c>
      <c r="G31" s="3">
        <v>30</v>
      </c>
      <c r="H31" s="3">
        <v>45</v>
      </c>
      <c r="I31" s="3">
        <v>12</v>
      </c>
      <c r="J31" s="3">
        <v>30</v>
      </c>
      <c r="K31" s="3">
        <v>36</v>
      </c>
      <c r="L31" s="3">
        <v>38</v>
      </c>
      <c r="M31" s="3">
        <v>31</v>
      </c>
      <c r="N31" s="3">
        <v>21</v>
      </c>
      <c r="O31" s="3">
        <v>21</v>
      </c>
      <c r="P31" s="3">
        <v>13</v>
      </c>
      <c r="Q31" s="3">
        <v>65</v>
      </c>
      <c r="R31" s="3">
        <v>54</v>
      </c>
      <c r="S31" s="3">
        <v>18</v>
      </c>
    </row>
    <row r="32" spans="1:19" x14ac:dyDescent="0.35">
      <c r="A32" s="1" t="s">
        <v>8</v>
      </c>
      <c r="B32" s="3">
        <v>2018</v>
      </c>
      <c r="C32" s="11">
        <f>L2</f>
        <v>599</v>
      </c>
      <c r="E32" s="3">
        <v>2022</v>
      </c>
      <c r="F32" s="3">
        <v>36</v>
      </c>
      <c r="G32" s="3">
        <v>30</v>
      </c>
      <c r="H32" s="3">
        <v>46</v>
      </c>
      <c r="I32" s="3">
        <v>13</v>
      </c>
      <c r="J32" s="3">
        <v>31</v>
      </c>
      <c r="K32" s="3">
        <v>36</v>
      </c>
      <c r="L32" s="3">
        <v>39</v>
      </c>
      <c r="M32" s="3">
        <v>31</v>
      </c>
      <c r="N32" s="3">
        <v>21</v>
      </c>
      <c r="O32" s="3">
        <v>22</v>
      </c>
      <c r="P32" s="3">
        <v>13</v>
      </c>
      <c r="Q32" s="3">
        <v>68</v>
      </c>
      <c r="R32" s="3">
        <v>55</v>
      </c>
      <c r="S32" s="3">
        <v>18</v>
      </c>
    </row>
    <row r="33" spans="1:19" x14ac:dyDescent="0.35">
      <c r="A33" s="1" t="s">
        <v>8</v>
      </c>
      <c r="B33" s="3">
        <v>2019</v>
      </c>
      <c r="C33" s="11">
        <f t="shared" ref="C33:C36" si="8">L3</f>
        <v>600</v>
      </c>
      <c r="E33" s="3" t="s">
        <v>31</v>
      </c>
      <c r="F33" s="3">
        <f t="shared" ref="F33:S33" si="9">SUM(F28:F32)</f>
        <v>181</v>
      </c>
      <c r="G33" s="3">
        <f t="shared" si="9"/>
        <v>150</v>
      </c>
      <c r="H33" s="3">
        <f t="shared" si="9"/>
        <v>226</v>
      </c>
      <c r="I33" s="3">
        <f t="shared" si="9"/>
        <v>61</v>
      </c>
      <c r="J33" s="3">
        <f t="shared" si="9"/>
        <v>146</v>
      </c>
      <c r="K33" s="3">
        <f t="shared" si="9"/>
        <v>176</v>
      </c>
      <c r="L33" s="3">
        <f t="shared" si="9"/>
        <v>190</v>
      </c>
      <c r="M33" s="3">
        <f t="shared" si="9"/>
        <v>155</v>
      </c>
      <c r="N33" s="3">
        <f t="shared" si="9"/>
        <v>105</v>
      </c>
      <c r="O33" s="3">
        <f t="shared" si="9"/>
        <v>106</v>
      </c>
      <c r="P33" s="3">
        <f t="shared" si="9"/>
        <v>65</v>
      </c>
      <c r="Q33" s="3">
        <f t="shared" si="9"/>
        <v>318</v>
      </c>
      <c r="R33" s="3">
        <f t="shared" si="9"/>
        <v>266</v>
      </c>
      <c r="S33" s="3">
        <f t="shared" si="9"/>
        <v>88</v>
      </c>
    </row>
    <row r="34" spans="1:19" x14ac:dyDescent="0.35">
      <c r="A34" s="1" t="s">
        <v>8</v>
      </c>
      <c r="B34" s="3">
        <v>2020</v>
      </c>
      <c r="C34" s="11">
        <f t="shared" si="8"/>
        <v>604</v>
      </c>
    </row>
    <row r="35" spans="1:19" x14ac:dyDescent="0.35">
      <c r="A35" s="1" t="s">
        <v>8</v>
      </c>
      <c r="B35" s="3">
        <v>2021</v>
      </c>
      <c r="C35" s="11">
        <f t="shared" si="8"/>
        <v>614</v>
      </c>
      <c r="E35" s="1" t="s">
        <v>31</v>
      </c>
      <c r="F35" s="1">
        <f t="shared" ref="F35:S35" si="10">F17+F25+F33</f>
        <v>2867</v>
      </c>
      <c r="G35" s="1">
        <f t="shared" si="10"/>
        <v>1935</v>
      </c>
      <c r="H35" s="1">
        <f t="shared" si="10"/>
        <v>3011</v>
      </c>
      <c r="I35" s="1">
        <f t="shared" si="10"/>
        <v>1249</v>
      </c>
      <c r="J35" s="1">
        <f t="shared" si="10"/>
        <v>3137</v>
      </c>
      <c r="K35" s="1">
        <f t="shared" si="10"/>
        <v>3587</v>
      </c>
      <c r="L35" s="1">
        <f t="shared" si="10"/>
        <v>3038</v>
      </c>
      <c r="M35" s="1">
        <f t="shared" si="10"/>
        <v>2692</v>
      </c>
      <c r="N35" s="1">
        <f t="shared" si="10"/>
        <v>1604</v>
      </c>
      <c r="O35" s="1">
        <f t="shared" si="10"/>
        <v>1945</v>
      </c>
      <c r="P35" s="1">
        <f t="shared" si="10"/>
        <v>783</v>
      </c>
      <c r="Q35" s="1">
        <f t="shared" si="10"/>
        <v>2957</v>
      </c>
      <c r="R35" s="1">
        <f t="shared" si="10"/>
        <v>1495</v>
      </c>
      <c r="S35" s="1">
        <f t="shared" si="10"/>
        <v>747</v>
      </c>
    </row>
    <row r="36" spans="1:19" x14ac:dyDescent="0.35">
      <c r="A36" s="1" t="s">
        <v>8</v>
      </c>
      <c r="B36" s="3">
        <v>2022</v>
      </c>
      <c r="C36" s="11">
        <f t="shared" si="8"/>
        <v>621</v>
      </c>
    </row>
    <row r="37" spans="1:19" x14ac:dyDescent="0.35">
      <c r="A37" s="1" t="s">
        <v>9</v>
      </c>
      <c r="B37" s="3">
        <v>2018</v>
      </c>
      <c r="C37" s="11">
        <f>M2</f>
        <v>539</v>
      </c>
    </row>
    <row r="38" spans="1:19" x14ac:dyDescent="0.35">
      <c r="A38" s="1" t="s">
        <v>9</v>
      </c>
      <c r="B38" s="3">
        <v>2019</v>
      </c>
      <c r="C38" s="11">
        <f t="shared" ref="C38:C41" si="11">M3</f>
        <v>538</v>
      </c>
    </row>
    <row r="39" spans="1:19" x14ac:dyDescent="0.35">
      <c r="A39" s="1" t="s">
        <v>9</v>
      </c>
      <c r="B39" s="3">
        <v>2020</v>
      </c>
      <c r="C39" s="11">
        <f t="shared" si="11"/>
        <v>538</v>
      </c>
    </row>
    <row r="40" spans="1:19" x14ac:dyDescent="0.35">
      <c r="A40" s="1" t="s">
        <v>9</v>
      </c>
      <c r="B40" s="3">
        <v>2021</v>
      </c>
      <c r="C40" s="11">
        <f t="shared" si="11"/>
        <v>538</v>
      </c>
    </row>
    <row r="41" spans="1:19" x14ac:dyDescent="0.35">
      <c r="A41" s="1" t="s">
        <v>9</v>
      </c>
      <c r="B41" s="3">
        <v>2022</v>
      </c>
      <c r="C41" s="11">
        <f t="shared" si="11"/>
        <v>539</v>
      </c>
    </row>
    <row r="42" spans="1:19" x14ac:dyDescent="0.35">
      <c r="A42" s="1" t="s">
        <v>10</v>
      </c>
      <c r="B42" s="3">
        <v>2018</v>
      </c>
      <c r="C42" s="11">
        <f>N2</f>
        <v>321</v>
      </c>
    </row>
    <row r="43" spans="1:19" x14ac:dyDescent="0.35">
      <c r="A43" s="1" t="s">
        <v>10</v>
      </c>
      <c r="B43" s="3">
        <v>2019</v>
      </c>
      <c r="C43" s="11">
        <f t="shared" ref="C43:C46" si="12">N3</f>
        <v>321</v>
      </c>
    </row>
    <row r="44" spans="1:19" x14ac:dyDescent="0.35">
      <c r="A44" s="1" t="s">
        <v>10</v>
      </c>
      <c r="B44" s="3">
        <v>2020</v>
      </c>
      <c r="C44" s="11">
        <f t="shared" si="12"/>
        <v>320</v>
      </c>
    </row>
    <row r="45" spans="1:19" x14ac:dyDescent="0.35">
      <c r="A45" s="1" t="s">
        <v>10</v>
      </c>
      <c r="B45" s="3">
        <v>2021</v>
      </c>
      <c r="C45" s="11">
        <f t="shared" si="12"/>
        <v>321</v>
      </c>
    </row>
    <row r="46" spans="1:19" x14ac:dyDescent="0.35">
      <c r="A46" s="1" t="s">
        <v>10</v>
      </c>
      <c r="B46" s="3">
        <v>2022</v>
      </c>
      <c r="C46" s="11">
        <f t="shared" si="12"/>
        <v>321</v>
      </c>
    </row>
    <row r="47" spans="1:19" x14ac:dyDescent="0.35">
      <c r="A47" s="1" t="s">
        <v>11</v>
      </c>
      <c r="B47" s="3">
        <v>2018</v>
      </c>
      <c r="C47" s="11">
        <f>O2</f>
        <v>386</v>
      </c>
    </row>
    <row r="48" spans="1:19" x14ac:dyDescent="0.35">
      <c r="A48" s="1" t="s">
        <v>11</v>
      </c>
      <c r="B48" s="3">
        <v>2019</v>
      </c>
      <c r="C48" s="11">
        <f t="shared" ref="C48:C51" si="13">O3</f>
        <v>388</v>
      </c>
    </row>
    <row r="49" spans="1:3" x14ac:dyDescent="0.35">
      <c r="A49" s="1" t="s">
        <v>11</v>
      </c>
      <c r="B49" s="3">
        <v>2020</v>
      </c>
      <c r="C49" s="11">
        <f t="shared" si="13"/>
        <v>389</v>
      </c>
    </row>
    <row r="50" spans="1:3" x14ac:dyDescent="0.35">
      <c r="A50" s="1" t="s">
        <v>11</v>
      </c>
      <c r="B50" s="3">
        <v>2021</v>
      </c>
      <c r="C50" s="11">
        <f t="shared" si="13"/>
        <v>390</v>
      </c>
    </row>
    <row r="51" spans="1:3" x14ac:dyDescent="0.35">
      <c r="A51" s="1" t="s">
        <v>11</v>
      </c>
      <c r="B51" s="3">
        <v>2022</v>
      </c>
      <c r="C51" s="11">
        <f t="shared" si="13"/>
        <v>392</v>
      </c>
    </row>
    <row r="52" spans="1:3" x14ac:dyDescent="0.35">
      <c r="A52" s="1" t="s">
        <v>13</v>
      </c>
      <c r="B52" s="3">
        <v>2018</v>
      </c>
      <c r="C52" s="11">
        <f>P2</f>
        <v>155</v>
      </c>
    </row>
    <row r="53" spans="1:3" x14ac:dyDescent="0.35">
      <c r="A53" s="1" t="s">
        <v>13</v>
      </c>
      <c r="B53" s="3">
        <v>2019</v>
      </c>
      <c r="C53" s="11">
        <f t="shared" ref="C53:C56" si="14">P3</f>
        <v>156</v>
      </c>
    </row>
    <row r="54" spans="1:3" x14ac:dyDescent="0.35">
      <c r="A54" s="1" t="s">
        <v>13</v>
      </c>
      <c r="B54" s="3">
        <v>2020</v>
      </c>
      <c r="C54" s="11">
        <f t="shared" si="14"/>
        <v>156</v>
      </c>
    </row>
    <row r="55" spans="1:3" x14ac:dyDescent="0.35">
      <c r="A55" s="1" t="s">
        <v>13</v>
      </c>
      <c r="B55" s="3">
        <v>2021</v>
      </c>
      <c r="C55" s="11">
        <f t="shared" si="14"/>
        <v>157</v>
      </c>
    </row>
    <row r="56" spans="1:3" x14ac:dyDescent="0.35">
      <c r="A56" s="1" t="s">
        <v>13</v>
      </c>
      <c r="B56" s="3">
        <v>2022</v>
      </c>
      <c r="C56" s="11">
        <f t="shared" si="14"/>
        <v>159</v>
      </c>
    </row>
    <row r="57" spans="1:3" x14ac:dyDescent="0.35">
      <c r="A57" s="1" t="s">
        <v>12</v>
      </c>
      <c r="B57" s="3">
        <v>2018</v>
      </c>
      <c r="C57" s="11">
        <f>Q2</f>
        <v>583</v>
      </c>
    </row>
    <row r="58" spans="1:3" x14ac:dyDescent="0.35">
      <c r="A58" s="1" t="s">
        <v>12</v>
      </c>
      <c r="B58" s="3">
        <v>2019</v>
      </c>
      <c r="C58" s="11">
        <f t="shared" ref="C58:C61" si="15">Q3</f>
        <v>587</v>
      </c>
    </row>
    <row r="59" spans="1:3" x14ac:dyDescent="0.35">
      <c r="A59" s="1" t="s">
        <v>12</v>
      </c>
      <c r="B59" s="3">
        <v>2020</v>
      </c>
      <c r="C59" s="11">
        <f t="shared" si="15"/>
        <v>589</v>
      </c>
    </row>
    <row r="60" spans="1:3" x14ac:dyDescent="0.35">
      <c r="A60" s="1" t="s">
        <v>12</v>
      </c>
      <c r="B60" s="3">
        <v>2021</v>
      </c>
      <c r="C60" s="11">
        <f t="shared" si="15"/>
        <v>597</v>
      </c>
    </row>
    <row r="61" spans="1:3" x14ac:dyDescent="0.35">
      <c r="A61" s="1" t="s">
        <v>12</v>
      </c>
      <c r="B61" s="3">
        <v>2022</v>
      </c>
      <c r="C61" s="11">
        <f t="shared" si="15"/>
        <v>601</v>
      </c>
    </row>
    <row r="62" spans="1:3" x14ac:dyDescent="0.35">
      <c r="A62" s="1" t="s">
        <v>14</v>
      </c>
      <c r="B62" s="3">
        <v>2018</v>
      </c>
      <c r="C62" s="11">
        <f>R2</f>
        <v>294</v>
      </c>
    </row>
    <row r="63" spans="1:3" x14ac:dyDescent="0.35">
      <c r="A63" s="1" t="s">
        <v>14</v>
      </c>
      <c r="B63" s="3">
        <v>2019</v>
      </c>
      <c r="C63" s="11">
        <f t="shared" ref="C63:C66" si="16">R3</f>
        <v>296</v>
      </c>
    </row>
    <row r="64" spans="1:3" x14ac:dyDescent="0.35">
      <c r="A64" s="1" t="s">
        <v>14</v>
      </c>
      <c r="B64" s="3">
        <v>2020</v>
      </c>
      <c r="C64" s="11">
        <f t="shared" si="16"/>
        <v>298</v>
      </c>
    </row>
    <row r="65" spans="1:3" x14ac:dyDescent="0.35">
      <c r="A65" s="1" t="s">
        <v>14</v>
      </c>
      <c r="B65" s="3">
        <v>2021</v>
      </c>
      <c r="C65" s="11">
        <f t="shared" si="16"/>
        <v>303</v>
      </c>
    </row>
    <row r="66" spans="1:3" x14ac:dyDescent="0.35">
      <c r="A66" s="1" t="s">
        <v>14</v>
      </c>
      <c r="B66" s="3">
        <v>2022</v>
      </c>
      <c r="C66" s="11">
        <f t="shared" si="16"/>
        <v>304</v>
      </c>
    </row>
    <row r="67" spans="1:3" x14ac:dyDescent="0.35">
      <c r="A67" s="1" t="s">
        <v>15</v>
      </c>
      <c r="B67" s="3">
        <v>2018</v>
      </c>
      <c r="C67" s="11">
        <f>S2</f>
        <v>146</v>
      </c>
    </row>
    <row r="68" spans="1:3" x14ac:dyDescent="0.35">
      <c r="A68" s="1" t="s">
        <v>15</v>
      </c>
      <c r="B68" s="3">
        <v>2019</v>
      </c>
      <c r="C68" s="11">
        <f t="shared" ref="C68:C71" si="17">S3</f>
        <v>145</v>
      </c>
    </row>
    <row r="69" spans="1:3" x14ac:dyDescent="0.35">
      <c r="A69" s="1" t="s">
        <v>15</v>
      </c>
      <c r="B69" s="3">
        <v>2020</v>
      </c>
      <c r="C69" s="11">
        <f t="shared" si="17"/>
        <v>147</v>
      </c>
    </row>
    <row r="70" spans="1:3" x14ac:dyDescent="0.35">
      <c r="A70" s="1" t="s">
        <v>15</v>
      </c>
      <c r="B70" s="3">
        <v>2021</v>
      </c>
      <c r="C70" s="11">
        <f t="shared" si="17"/>
        <v>154</v>
      </c>
    </row>
    <row r="71" spans="1:3" x14ac:dyDescent="0.35">
      <c r="A71" s="1" t="s">
        <v>15</v>
      </c>
      <c r="B71" s="3">
        <v>2022</v>
      </c>
      <c r="C71" s="11">
        <f t="shared" si="17"/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A13E-8DB8-4DF4-A84A-03759738435A}">
  <dimension ref="A1:S75"/>
  <sheetViews>
    <sheetView topLeftCell="A51" workbookViewId="0">
      <selection activeCell="C2" sqref="C2:C71"/>
    </sheetView>
  </sheetViews>
  <sheetFormatPr defaultRowHeight="14.5" x14ac:dyDescent="0.35"/>
  <cols>
    <col min="1" max="1" width="15.1796875" bestFit="1" customWidth="1"/>
    <col min="2" max="2" width="6.08984375" bestFit="1" customWidth="1"/>
    <col min="3" max="3" width="10.36328125" customWidth="1"/>
    <col min="5" max="5" width="6.08984375" bestFit="1" customWidth="1"/>
    <col min="6" max="15" width="11.81640625" bestFit="1" customWidth="1"/>
    <col min="16" max="16" width="11.90625" bestFit="1" customWidth="1"/>
    <col min="17" max="17" width="11.81640625" bestFit="1" customWidth="1"/>
    <col min="18" max="18" width="13.36328125" bestFit="1" customWidth="1"/>
    <col min="19" max="20" width="14.81640625" bestFit="1" customWidth="1"/>
  </cols>
  <sheetData>
    <row r="1" spans="1:19" x14ac:dyDescent="0.35">
      <c r="A1" s="2" t="s">
        <v>0</v>
      </c>
      <c r="B1" s="2" t="s">
        <v>1</v>
      </c>
      <c r="C1" s="2" t="s">
        <v>21</v>
      </c>
      <c r="E1" s="2" t="s">
        <v>1</v>
      </c>
      <c r="F1" s="3" t="s">
        <v>3</v>
      </c>
      <c r="G1" s="3" t="s">
        <v>4</v>
      </c>
      <c r="H1" s="3" t="s">
        <v>5</v>
      </c>
      <c r="I1" s="3" t="s">
        <v>16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13</v>
      </c>
      <c r="Q1" s="3" t="s">
        <v>12</v>
      </c>
      <c r="R1" s="3" t="s">
        <v>14</v>
      </c>
      <c r="S1" s="3" t="s">
        <v>15</v>
      </c>
    </row>
    <row r="2" spans="1:19" x14ac:dyDescent="0.35">
      <c r="A2" s="1" t="s">
        <v>3</v>
      </c>
      <c r="B2" s="3">
        <v>2018</v>
      </c>
      <c r="C2" s="6">
        <f>F2</f>
        <v>18.172856178257934</v>
      </c>
      <c r="E2" s="3">
        <v>2018</v>
      </c>
      <c r="F2" s="3">
        <f t="shared" ref="F2:S2" si="0">F36/F71</f>
        <v>18.172856178257934</v>
      </c>
      <c r="G2" s="3">
        <f t="shared" si="0"/>
        <v>15.912800447177194</v>
      </c>
      <c r="H2" s="3">
        <f t="shared" si="0"/>
        <v>17.097640891218873</v>
      </c>
      <c r="I2" s="3">
        <f t="shared" si="0"/>
        <v>15.193320964749535</v>
      </c>
      <c r="J2" s="3">
        <f t="shared" si="0"/>
        <v>16.955546408726075</v>
      </c>
      <c r="K2" s="3">
        <f t="shared" si="0"/>
        <v>15.416625837008002</v>
      </c>
      <c r="L2" s="3">
        <f t="shared" si="0"/>
        <v>17.702540797355919</v>
      </c>
      <c r="M2" s="3">
        <f t="shared" si="0"/>
        <v>13.397568067671161</v>
      </c>
      <c r="N2" s="3">
        <f t="shared" si="0"/>
        <v>17.175316179677278</v>
      </c>
      <c r="O2" s="3">
        <f t="shared" si="0"/>
        <v>12.809064609450337</v>
      </c>
      <c r="P2" s="3">
        <f t="shared" si="0"/>
        <v>14.132610006027727</v>
      </c>
      <c r="Q2" s="3">
        <f t="shared" si="0"/>
        <v>16.84157113324563</v>
      </c>
      <c r="R2" s="3">
        <f t="shared" si="0"/>
        <v>20.568519537699505</v>
      </c>
      <c r="S2" s="3">
        <f t="shared" si="0"/>
        <v>20.329006490264604</v>
      </c>
    </row>
    <row r="3" spans="1:19" x14ac:dyDescent="0.35">
      <c r="A3" s="1" t="s">
        <v>3</v>
      </c>
      <c r="B3" s="3">
        <v>2019</v>
      </c>
      <c r="C3" s="6">
        <f>F3</f>
        <v>17.381073761350965</v>
      </c>
      <c r="E3" s="3">
        <v>2019</v>
      </c>
      <c r="F3" s="3">
        <f t="shared" ref="F3:S3" si="1">F37/F72</f>
        <v>17.381073761350965</v>
      </c>
      <c r="G3" s="3">
        <f t="shared" si="1"/>
        <v>14.720971867007673</v>
      </c>
      <c r="H3" s="3">
        <f t="shared" si="1"/>
        <v>15.828686058174524</v>
      </c>
      <c r="I3" s="3">
        <f t="shared" si="1"/>
        <v>14.774582889598864</v>
      </c>
      <c r="J3" s="3">
        <f t="shared" si="1"/>
        <v>15.397803425167535</v>
      </c>
      <c r="K3" s="3">
        <f t="shared" si="1"/>
        <v>14.112103029416069</v>
      </c>
      <c r="L3" s="3">
        <f t="shared" si="1"/>
        <v>16.201858736059478</v>
      </c>
      <c r="M3" s="3">
        <f t="shared" si="1"/>
        <v>11.964566929133857</v>
      </c>
      <c r="N3" s="3">
        <f t="shared" si="1"/>
        <v>15.552877138413686</v>
      </c>
      <c r="O3" s="3">
        <f t="shared" si="1"/>
        <v>11.573402417962004</v>
      </c>
      <c r="P3" s="3">
        <f t="shared" si="1"/>
        <v>13.090960134755756</v>
      </c>
      <c r="Q3" s="3">
        <f t="shared" si="1"/>
        <v>15.63903017972194</v>
      </c>
      <c r="R3" s="3">
        <f t="shared" si="1"/>
        <v>19.875</v>
      </c>
      <c r="S3" s="3">
        <f t="shared" si="1"/>
        <v>19.849976110845677</v>
      </c>
    </row>
    <row r="4" spans="1:19" x14ac:dyDescent="0.35">
      <c r="A4" s="1" t="s">
        <v>3</v>
      </c>
      <c r="B4" s="3">
        <v>2020</v>
      </c>
      <c r="C4" s="6">
        <f>F4</f>
        <v>17.696020874103066</v>
      </c>
      <c r="E4" s="3">
        <v>2020</v>
      </c>
      <c r="F4" s="3">
        <f t="shared" ref="F4:S4" si="2">F38/F73</f>
        <v>17.696020874103066</v>
      </c>
      <c r="G4" s="3">
        <f t="shared" si="2"/>
        <v>14.798131811105344</v>
      </c>
      <c r="H4" s="3">
        <f t="shared" si="2"/>
        <v>16.741804156845941</v>
      </c>
      <c r="I4" s="3">
        <f t="shared" si="2"/>
        <v>14.012816188870152</v>
      </c>
      <c r="J4" s="3">
        <f t="shared" si="2"/>
        <v>14.917460888329437</v>
      </c>
      <c r="K4" s="3">
        <f t="shared" si="2"/>
        <v>13.163555924236141</v>
      </c>
      <c r="L4" s="3">
        <f t="shared" si="2"/>
        <v>15.118771929824561</v>
      </c>
      <c r="M4" s="3">
        <f t="shared" si="2"/>
        <v>11.505658669081033</v>
      </c>
      <c r="N4" s="3">
        <f t="shared" si="2"/>
        <v>15.323641928079571</v>
      </c>
      <c r="O4" s="3">
        <f t="shared" si="2"/>
        <v>11.042749371332775</v>
      </c>
      <c r="P4" s="3">
        <f t="shared" si="2"/>
        <v>12.762116991643454</v>
      </c>
      <c r="Q4" s="3">
        <f t="shared" si="2"/>
        <v>15.238606340819022</v>
      </c>
      <c r="R4" s="3">
        <f t="shared" si="2"/>
        <v>18.699100299900035</v>
      </c>
      <c r="S4" s="3">
        <f t="shared" si="2"/>
        <v>17.829832833261893</v>
      </c>
    </row>
    <row r="5" spans="1:19" x14ac:dyDescent="0.35">
      <c r="A5" s="1" t="s">
        <v>3</v>
      </c>
      <c r="B5" s="3">
        <v>2021</v>
      </c>
      <c r="C5" s="6">
        <f>F5</f>
        <v>19.173827071723888</v>
      </c>
      <c r="E5" s="3">
        <v>2021</v>
      </c>
      <c r="F5" s="3">
        <f t="shared" ref="F5:S5" si="3">F39/F74</f>
        <v>19.173827071723888</v>
      </c>
      <c r="G5" s="3">
        <f t="shared" si="3"/>
        <v>15.956721123531098</v>
      </c>
      <c r="H5" s="3">
        <f t="shared" si="3"/>
        <v>16.659125516641289</v>
      </c>
      <c r="I5" s="3">
        <f t="shared" si="3"/>
        <v>15.454996186117468</v>
      </c>
      <c r="J5" s="3">
        <f t="shared" si="3"/>
        <v>17.001671541997492</v>
      </c>
      <c r="K5" s="3">
        <f t="shared" si="3"/>
        <v>14.096168523889483</v>
      </c>
      <c r="L5" s="3">
        <f t="shared" si="3"/>
        <v>16.464355278535255</v>
      </c>
      <c r="M5" s="3">
        <f t="shared" si="3"/>
        <v>12.432167128114775</v>
      </c>
      <c r="N5" s="3">
        <f t="shared" si="3"/>
        <v>17.671721677074039</v>
      </c>
      <c r="O5" s="3">
        <f t="shared" si="3"/>
        <v>11.390713834491471</v>
      </c>
      <c r="P5" s="3">
        <f t="shared" si="3"/>
        <v>13.288542291541692</v>
      </c>
      <c r="Q5" s="3">
        <f t="shared" si="3"/>
        <v>16.52892863661252</v>
      </c>
      <c r="R5" s="3">
        <f t="shared" si="3"/>
        <v>19.842230347349176</v>
      </c>
      <c r="S5" s="3">
        <f t="shared" si="3"/>
        <v>18.319320214669052</v>
      </c>
    </row>
    <row r="6" spans="1:19" x14ac:dyDescent="0.35">
      <c r="A6" s="1" t="s">
        <v>3</v>
      </c>
      <c r="B6" s="3">
        <v>2022</v>
      </c>
      <c r="C6" s="6">
        <f>F6</f>
        <v>16.624375000000001</v>
      </c>
      <c r="E6" s="3">
        <v>2022</v>
      </c>
      <c r="F6" s="3">
        <f t="shared" ref="F6:S6" si="4">F40/F75</f>
        <v>16.624375000000001</v>
      </c>
      <c r="G6" s="3">
        <f t="shared" si="4"/>
        <v>14.276943005181348</v>
      </c>
      <c r="H6" s="3">
        <f t="shared" si="4"/>
        <v>14.513276026743075</v>
      </c>
      <c r="I6" s="3">
        <f t="shared" si="4"/>
        <v>13.879834254143647</v>
      </c>
      <c r="J6" s="3">
        <f t="shared" si="4"/>
        <v>14.531796072779679</v>
      </c>
      <c r="K6" s="3">
        <f t="shared" si="4"/>
        <v>12.691098044578149</v>
      </c>
      <c r="L6" s="3">
        <f t="shared" si="4"/>
        <v>14.319134318103744</v>
      </c>
      <c r="M6" s="3">
        <f t="shared" si="4"/>
        <v>10.204210526315789</v>
      </c>
      <c r="N6" s="3">
        <f t="shared" si="4"/>
        <v>15.493537015276146</v>
      </c>
      <c r="O6" s="3">
        <f t="shared" si="4"/>
        <v>10.422162162162163</v>
      </c>
      <c r="P6" s="3">
        <f t="shared" si="4"/>
        <v>11.733153638814017</v>
      </c>
      <c r="Q6" s="3">
        <f t="shared" si="4"/>
        <v>14.672637134175595</v>
      </c>
      <c r="R6" s="3">
        <f t="shared" si="4"/>
        <v>18.757997218358831</v>
      </c>
      <c r="S6" s="3">
        <f t="shared" si="4"/>
        <v>17.000410172272353</v>
      </c>
    </row>
    <row r="7" spans="1:19" x14ac:dyDescent="0.35">
      <c r="A7" s="1" t="s">
        <v>4</v>
      </c>
      <c r="B7" s="3">
        <v>2018</v>
      </c>
      <c r="C7" s="6">
        <f>G2</f>
        <v>15.912800447177194</v>
      </c>
    </row>
    <row r="8" spans="1:19" x14ac:dyDescent="0.35">
      <c r="A8" s="1" t="s">
        <v>4</v>
      </c>
      <c r="B8" s="3">
        <v>2019</v>
      </c>
      <c r="C8" s="6">
        <f>G3</f>
        <v>14.720971867007673</v>
      </c>
      <c r="E8" t="s">
        <v>32</v>
      </c>
      <c r="F8" t="s">
        <v>33</v>
      </c>
    </row>
    <row r="9" spans="1:19" x14ac:dyDescent="0.35">
      <c r="A9" s="1" t="s">
        <v>4</v>
      </c>
      <c r="B9" s="3">
        <v>2020</v>
      </c>
      <c r="C9" s="6">
        <f>G4</f>
        <v>14.798131811105344</v>
      </c>
      <c r="E9" s="4" t="s">
        <v>34</v>
      </c>
    </row>
    <row r="10" spans="1:19" x14ac:dyDescent="0.35">
      <c r="A10" s="1" t="s">
        <v>4</v>
      </c>
      <c r="B10" s="3">
        <v>2021</v>
      </c>
      <c r="C10" s="6">
        <f>G5</f>
        <v>15.956721123531098</v>
      </c>
      <c r="E10" s="4" t="s">
        <v>28</v>
      </c>
    </row>
    <row r="11" spans="1:19" x14ac:dyDescent="0.35">
      <c r="A11" s="1" t="s">
        <v>4</v>
      </c>
      <c r="B11" s="3">
        <v>2022</v>
      </c>
      <c r="C11" s="6">
        <f>G6</f>
        <v>14.276943005181348</v>
      </c>
      <c r="E11" s="3" t="s">
        <v>1</v>
      </c>
      <c r="F11" s="3" t="s">
        <v>3</v>
      </c>
      <c r="G11" s="3" t="s">
        <v>4</v>
      </c>
      <c r="H11" s="3" t="s">
        <v>5</v>
      </c>
      <c r="I11" s="3" t="s">
        <v>16</v>
      </c>
      <c r="J11" s="3" t="s">
        <v>6</v>
      </c>
      <c r="K11" s="3" t="s">
        <v>7</v>
      </c>
      <c r="L11" s="3" t="s">
        <v>8</v>
      </c>
      <c r="M11" s="3" t="s">
        <v>9</v>
      </c>
      <c r="N11" s="3" t="s">
        <v>10</v>
      </c>
      <c r="O11" s="3" t="s">
        <v>11</v>
      </c>
      <c r="P11" s="3" t="s">
        <v>13</v>
      </c>
      <c r="Q11" s="3" t="s">
        <v>12</v>
      </c>
      <c r="R11" s="3" t="s">
        <v>14</v>
      </c>
      <c r="S11" s="3" t="s">
        <v>15</v>
      </c>
    </row>
    <row r="12" spans="1:19" x14ac:dyDescent="0.35">
      <c r="A12" s="1" t="s">
        <v>5</v>
      </c>
      <c r="B12" s="3">
        <v>2018</v>
      </c>
      <c r="C12" s="6">
        <f>H2</f>
        <v>17.097640891218873</v>
      </c>
      <c r="E12" s="3">
        <v>2018</v>
      </c>
      <c r="F12" s="3">
        <v>70466</v>
      </c>
      <c r="G12" s="3">
        <v>35779</v>
      </c>
      <c r="H12" s="3">
        <v>44540</v>
      </c>
      <c r="I12" s="3">
        <v>26551</v>
      </c>
      <c r="J12" s="3">
        <v>53301</v>
      </c>
      <c r="K12" s="3">
        <v>60905</v>
      </c>
      <c r="L12" s="3">
        <v>54804</v>
      </c>
      <c r="M12" s="3">
        <v>30862</v>
      </c>
      <c r="N12" s="3">
        <v>24263</v>
      </c>
      <c r="O12" s="3">
        <v>24352</v>
      </c>
      <c r="P12" s="3">
        <v>13786</v>
      </c>
      <c r="Q12" s="3">
        <v>55614</v>
      </c>
      <c r="R12" s="3">
        <v>65213</v>
      </c>
      <c r="S12" s="3">
        <v>25500</v>
      </c>
    </row>
    <row r="13" spans="1:19" x14ac:dyDescent="0.35">
      <c r="A13" s="1" t="s">
        <v>5</v>
      </c>
      <c r="B13" s="3">
        <v>2019</v>
      </c>
      <c r="C13" s="6">
        <f>H3</f>
        <v>15.828686058174524</v>
      </c>
      <c r="E13" s="3">
        <v>2019</v>
      </c>
      <c r="F13" s="3">
        <v>70712</v>
      </c>
      <c r="G13" s="3">
        <v>35479</v>
      </c>
      <c r="H13" s="3">
        <v>44166</v>
      </c>
      <c r="I13" s="3">
        <v>27003</v>
      </c>
      <c r="J13" s="3">
        <v>53049</v>
      </c>
      <c r="K13" s="3">
        <v>62403</v>
      </c>
      <c r="L13" s="3">
        <v>54807</v>
      </c>
      <c r="M13" s="3">
        <v>31087</v>
      </c>
      <c r="N13" s="3">
        <v>24596</v>
      </c>
      <c r="O13" s="3">
        <v>24080</v>
      </c>
      <c r="P13" s="3">
        <v>13565</v>
      </c>
      <c r="Q13" s="3">
        <v>56597</v>
      </c>
      <c r="R13" s="3">
        <v>65647</v>
      </c>
      <c r="S13" s="3">
        <v>26056</v>
      </c>
    </row>
    <row r="14" spans="1:19" x14ac:dyDescent="0.35">
      <c r="A14" s="1" t="s">
        <v>5</v>
      </c>
      <c r="B14" s="3">
        <v>2020</v>
      </c>
      <c r="C14" s="6">
        <f>H4</f>
        <v>16.741804156845941</v>
      </c>
      <c r="E14" s="3">
        <v>2020</v>
      </c>
      <c r="F14" s="3">
        <v>69901</v>
      </c>
      <c r="G14" s="3">
        <v>34876</v>
      </c>
      <c r="H14" s="3">
        <v>43668</v>
      </c>
      <c r="I14" s="3">
        <v>26983</v>
      </c>
      <c r="J14" s="3">
        <v>52913</v>
      </c>
      <c r="K14" s="3">
        <v>61480</v>
      </c>
      <c r="L14" s="3">
        <v>54157</v>
      </c>
      <c r="M14" s="3">
        <v>30433</v>
      </c>
      <c r="N14" s="3">
        <v>24508</v>
      </c>
      <c r="O14" s="3">
        <v>23817</v>
      </c>
      <c r="P14" s="3">
        <v>13147</v>
      </c>
      <c r="Q14" s="3">
        <v>56310</v>
      </c>
      <c r="R14" s="3">
        <v>64930</v>
      </c>
      <c r="S14" s="3">
        <v>25950</v>
      </c>
    </row>
    <row r="15" spans="1:19" x14ac:dyDescent="0.35">
      <c r="A15" s="1" t="s">
        <v>5</v>
      </c>
      <c r="B15" s="3">
        <v>2021</v>
      </c>
      <c r="C15" s="6">
        <f>H5</f>
        <v>16.659125516641289</v>
      </c>
      <c r="E15" s="3">
        <v>2021</v>
      </c>
      <c r="F15" s="3">
        <v>67749</v>
      </c>
      <c r="G15" s="3">
        <v>33682</v>
      </c>
      <c r="H15" s="3">
        <v>43219</v>
      </c>
      <c r="I15" s="3">
        <v>26493</v>
      </c>
      <c r="J15" s="3">
        <v>51666</v>
      </c>
      <c r="K15" s="3">
        <v>59339</v>
      </c>
      <c r="L15" s="3">
        <v>52927</v>
      </c>
      <c r="M15" s="3">
        <v>29471</v>
      </c>
      <c r="N15" s="3">
        <v>24334</v>
      </c>
      <c r="O15" s="3">
        <v>23404</v>
      </c>
      <c r="P15" s="3">
        <v>12779</v>
      </c>
      <c r="Q15" s="3">
        <v>55101</v>
      </c>
      <c r="R15" s="3">
        <v>62045</v>
      </c>
      <c r="S15" s="3">
        <v>25366</v>
      </c>
    </row>
    <row r="16" spans="1:19" x14ac:dyDescent="0.35">
      <c r="A16" s="1" t="s">
        <v>5</v>
      </c>
      <c r="B16" s="3">
        <v>2022</v>
      </c>
      <c r="C16" s="6">
        <f>H6</f>
        <v>14.513276026743075</v>
      </c>
      <c r="E16" s="3">
        <v>2022</v>
      </c>
      <c r="F16" s="3">
        <v>66795</v>
      </c>
      <c r="G16" s="3">
        <v>33178</v>
      </c>
      <c r="H16" s="3">
        <v>43401</v>
      </c>
      <c r="I16" s="3">
        <v>26256</v>
      </c>
      <c r="J16" s="3">
        <v>51043</v>
      </c>
      <c r="K16" s="3">
        <v>59902</v>
      </c>
      <c r="L16" s="3">
        <v>52478</v>
      </c>
      <c r="M16" s="3">
        <v>29104</v>
      </c>
      <c r="N16" s="3">
        <v>24476</v>
      </c>
      <c r="O16" s="3">
        <v>23464</v>
      </c>
      <c r="P16" s="3">
        <v>12618</v>
      </c>
      <c r="Q16" s="3">
        <v>56000</v>
      </c>
      <c r="R16" s="3">
        <v>61365</v>
      </c>
      <c r="S16" s="3">
        <v>25568</v>
      </c>
    </row>
    <row r="17" spans="1:19" x14ac:dyDescent="0.35">
      <c r="A17" s="1" t="s">
        <v>16</v>
      </c>
      <c r="B17" s="3">
        <v>2018</v>
      </c>
      <c r="C17" s="6">
        <f>I2</f>
        <v>15.193320964749535</v>
      </c>
      <c r="E17" s="3" t="s">
        <v>31</v>
      </c>
      <c r="F17" s="3">
        <f t="shared" ref="F17:S17" si="5">SUM(F12:F16)</f>
        <v>345623</v>
      </c>
      <c r="G17" s="3">
        <f t="shared" si="5"/>
        <v>172994</v>
      </c>
      <c r="H17" s="3">
        <f t="shared" si="5"/>
        <v>218994</v>
      </c>
      <c r="I17" s="3">
        <f t="shared" si="5"/>
        <v>133286</v>
      </c>
      <c r="J17" s="3">
        <f t="shared" si="5"/>
        <v>261972</v>
      </c>
      <c r="K17" s="3">
        <f t="shared" si="5"/>
        <v>304029</v>
      </c>
      <c r="L17" s="3">
        <f t="shared" si="5"/>
        <v>269173</v>
      </c>
      <c r="M17" s="3">
        <f t="shared" si="5"/>
        <v>150957</v>
      </c>
      <c r="N17" s="3">
        <f t="shared" si="5"/>
        <v>122177</v>
      </c>
      <c r="O17" s="3">
        <f t="shared" si="5"/>
        <v>119117</v>
      </c>
      <c r="P17" s="3">
        <f t="shared" si="5"/>
        <v>65895</v>
      </c>
      <c r="Q17" s="3">
        <f t="shared" si="5"/>
        <v>279622</v>
      </c>
      <c r="R17" s="3">
        <f t="shared" si="5"/>
        <v>319200</v>
      </c>
      <c r="S17" s="3">
        <f t="shared" si="5"/>
        <v>128440</v>
      </c>
    </row>
    <row r="18" spans="1:19" x14ac:dyDescent="0.35">
      <c r="A18" s="1" t="s">
        <v>16</v>
      </c>
      <c r="B18" s="3">
        <v>2019</v>
      </c>
      <c r="C18" s="6">
        <f>I3</f>
        <v>14.774582889598864</v>
      </c>
      <c r="E18" s="4" t="s">
        <v>29</v>
      </c>
    </row>
    <row r="19" spans="1:19" x14ac:dyDescent="0.35">
      <c r="A19" s="1" t="s">
        <v>16</v>
      </c>
      <c r="B19" s="3">
        <v>2020</v>
      </c>
      <c r="C19" s="6">
        <f>I4</f>
        <v>14.012816188870152</v>
      </c>
      <c r="E19" s="3" t="s">
        <v>1</v>
      </c>
      <c r="F19" s="3" t="s">
        <v>3</v>
      </c>
      <c r="G19" s="3" t="s">
        <v>4</v>
      </c>
      <c r="H19" s="3" t="s">
        <v>5</v>
      </c>
      <c r="I19" s="3" t="s">
        <v>16</v>
      </c>
      <c r="J19" s="3" t="s">
        <v>6</v>
      </c>
      <c r="K19" s="3" t="s">
        <v>7</v>
      </c>
      <c r="L19" s="3" t="s">
        <v>8</v>
      </c>
      <c r="M19" s="3" t="s">
        <v>9</v>
      </c>
      <c r="N19" s="3" t="s">
        <v>10</v>
      </c>
      <c r="O19" s="3" t="s">
        <v>11</v>
      </c>
      <c r="P19" s="3" t="s">
        <v>13</v>
      </c>
      <c r="Q19" s="3" t="s">
        <v>12</v>
      </c>
      <c r="R19" s="3" t="s">
        <v>14</v>
      </c>
      <c r="S19" s="3" t="s">
        <v>15</v>
      </c>
    </row>
    <row r="20" spans="1:19" x14ac:dyDescent="0.35">
      <c r="A20" s="1" t="s">
        <v>16</v>
      </c>
      <c r="B20" s="3">
        <v>2021</v>
      </c>
      <c r="C20" s="6">
        <f>I5</f>
        <v>15.454996186117468</v>
      </c>
      <c r="E20" s="3">
        <v>2018</v>
      </c>
      <c r="F20" s="3">
        <v>25988</v>
      </c>
      <c r="G20" s="3">
        <v>13664</v>
      </c>
      <c r="H20" s="3">
        <v>21281</v>
      </c>
      <c r="I20" s="3">
        <v>9008</v>
      </c>
      <c r="J20" s="3">
        <v>20114</v>
      </c>
      <c r="K20" s="3">
        <v>23029</v>
      </c>
      <c r="L20" s="3">
        <v>21267</v>
      </c>
      <c r="M20" s="3">
        <v>12080</v>
      </c>
      <c r="N20" s="3">
        <v>10004</v>
      </c>
      <c r="O20" s="3">
        <v>10274</v>
      </c>
      <c r="P20" s="3">
        <v>5770</v>
      </c>
      <c r="Q20" s="3">
        <v>21998</v>
      </c>
      <c r="R20" s="3">
        <v>27798</v>
      </c>
      <c r="S20" s="3">
        <v>10242</v>
      </c>
    </row>
    <row r="21" spans="1:19" x14ac:dyDescent="0.35">
      <c r="A21" s="1" t="s">
        <v>16</v>
      </c>
      <c r="B21" s="3">
        <v>2022</v>
      </c>
      <c r="C21" s="6">
        <f>I6</f>
        <v>13.879834254143647</v>
      </c>
      <c r="E21" s="3">
        <v>2019</v>
      </c>
      <c r="F21" s="3">
        <v>26748</v>
      </c>
      <c r="G21" s="3">
        <v>14031</v>
      </c>
      <c r="H21" s="3">
        <v>21221</v>
      </c>
      <c r="I21" s="3">
        <v>8927</v>
      </c>
      <c r="J21" s="3">
        <v>20360</v>
      </c>
      <c r="K21" s="3">
        <v>23153</v>
      </c>
      <c r="L21" s="3">
        <v>21880</v>
      </c>
      <c r="M21" s="3">
        <v>12309</v>
      </c>
      <c r="N21" s="3">
        <v>9960</v>
      </c>
      <c r="O21" s="3">
        <v>10536</v>
      </c>
      <c r="P21" s="3">
        <v>5747</v>
      </c>
      <c r="Q21" s="3">
        <v>22539</v>
      </c>
      <c r="R21" s="3">
        <v>27800</v>
      </c>
      <c r="S21" s="3">
        <v>10349</v>
      </c>
    </row>
    <row r="22" spans="1:19" x14ac:dyDescent="0.35">
      <c r="A22" s="1" t="s">
        <v>6</v>
      </c>
      <c r="B22" s="3">
        <v>2018</v>
      </c>
      <c r="C22" s="6">
        <f>J2</f>
        <v>16.955546408726075</v>
      </c>
      <c r="E22" s="3">
        <v>2020</v>
      </c>
      <c r="F22" s="3">
        <v>27047</v>
      </c>
      <c r="G22" s="3">
        <v>14117</v>
      </c>
      <c r="H22" s="3">
        <v>20672</v>
      </c>
      <c r="I22" s="3">
        <v>8763</v>
      </c>
      <c r="J22" s="3">
        <v>20523</v>
      </c>
      <c r="K22" s="3">
        <v>22777</v>
      </c>
      <c r="L22" s="3">
        <v>21688</v>
      </c>
      <c r="M22" s="3">
        <v>12056</v>
      </c>
      <c r="N22" s="3">
        <v>9796</v>
      </c>
      <c r="O22" s="3">
        <v>10080</v>
      </c>
      <c r="P22" s="3">
        <v>5711</v>
      </c>
      <c r="Q22" s="3">
        <v>22593</v>
      </c>
      <c r="R22" s="3">
        <v>27842</v>
      </c>
      <c r="S22" s="3">
        <v>10416</v>
      </c>
    </row>
    <row r="23" spans="1:19" x14ac:dyDescent="0.35">
      <c r="A23" s="1" t="s">
        <v>6</v>
      </c>
      <c r="B23" s="3">
        <v>2019</v>
      </c>
      <c r="C23" s="6">
        <f>J3</f>
        <v>15.397803425167535</v>
      </c>
      <c r="E23" s="3">
        <v>2021</v>
      </c>
      <c r="F23" s="3">
        <v>27316</v>
      </c>
      <c r="G23" s="3">
        <v>14130</v>
      </c>
      <c r="H23" s="3">
        <v>19681</v>
      </c>
      <c r="I23" s="3">
        <v>8265</v>
      </c>
      <c r="J23" s="3">
        <v>20005</v>
      </c>
      <c r="K23" s="3">
        <v>22303</v>
      </c>
      <c r="L23" s="3">
        <v>21067</v>
      </c>
      <c r="M23" s="3">
        <v>11658</v>
      </c>
      <c r="N23" s="3">
        <v>9458</v>
      </c>
      <c r="O23" s="3">
        <v>6978</v>
      </c>
      <c r="P23" s="3">
        <v>5413</v>
      </c>
      <c r="Q23" s="3">
        <v>22166</v>
      </c>
      <c r="R23" s="3">
        <v>27360</v>
      </c>
      <c r="S23" s="3">
        <v>10404</v>
      </c>
    </row>
    <row r="24" spans="1:19" x14ac:dyDescent="0.35">
      <c r="A24" s="1" t="s">
        <v>6</v>
      </c>
      <c r="B24" s="3">
        <v>2020</v>
      </c>
      <c r="C24" s="6">
        <f>J4</f>
        <v>14.917460888329437</v>
      </c>
      <c r="E24" s="3">
        <v>2022</v>
      </c>
      <c r="F24" s="3">
        <v>27477</v>
      </c>
      <c r="G24" s="3">
        <v>14051</v>
      </c>
      <c r="H24" s="3">
        <v>19250</v>
      </c>
      <c r="I24" s="3">
        <v>8209</v>
      </c>
      <c r="J24" s="3">
        <v>19986</v>
      </c>
      <c r="K24" s="3">
        <v>22389</v>
      </c>
      <c r="L24" s="3">
        <v>20704</v>
      </c>
      <c r="M24" s="3">
        <v>11547</v>
      </c>
      <c r="N24" s="3">
        <v>9469</v>
      </c>
      <c r="O24" s="3">
        <v>9574</v>
      </c>
      <c r="P24" s="3">
        <v>5211</v>
      </c>
      <c r="Q24" s="3">
        <v>22383</v>
      </c>
      <c r="R24" s="3">
        <v>27116</v>
      </c>
      <c r="S24" s="3">
        <v>10709</v>
      </c>
    </row>
    <row r="25" spans="1:19" x14ac:dyDescent="0.35">
      <c r="A25" s="1" t="s">
        <v>6</v>
      </c>
      <c r="B25" s="3">
        <v>2021</v>
      </c>
      <c r="C25" s="6">
        <f>J5</f>
        <v>17.001671541997492</v>
      </c>
      <c r="E25" s="3" t="s">
        <v>31</v>
      </c>
      <c r="F25" s="3">
        <f t="shared" ref="F25:S25" si="6">SUM(F20:F24)</f>
        <v>134576</v>
      </c>
      <c r="G25" s="3">
        <f t="shared" si="6"/>
        <v>69993</v>
      </c>
      <c r="H25" s="3">
        <f t="shared" si="6"/>
        <v>102105</v>
      </c>
      <c r="I25" s="3">
        <f t="shared" si="6"/>
        <v>43172</v>
      </c>
      <c r="J25" s="3">
        <f t="shared" si="6"/>
        <v>100988</v>
      </c>
      <c r="K25" s="3">
        <f t="shared" si="6"/>
        <v>113651</v>
      </c>
      <c r="L25" s="3">
        <f t="shared" si="6"/>
        <v>106606</v>
      </c>
      <c r="M25" s="3">
        <f t="shared" si="6"/>
        <v>59650</v>
      </c>
      <c r="N25" s="3">
        <f t="shared" si="6"/>
        <v>48687</v>
      </c>
      <c r="O25" s="3">
        <f t="shared" si="6"/>
        <v>47442</v>
      </c>
      <c r="P25" s="3">
        <f t="shared" si="6"/>
        <v>27852</v>
      </c>
      <c r="Q25" s="3">
        <f t="shared" si="6"/>
        <v>111679</v>
      </c>
      <c r="R25" s="3">
        <f t="shared" si="6"/>
        <v>137916</v>
      </c>
      <c r="S25" s="3">
        <f t="shared" si="6"/>
        <v>52120</v>
      </c>
    </row>
    <row r="26" spans="1:19" x14ac:dyDescent="0.35">
      <c r="A26" s="1" t="s">
        <v>6</v>
      </c>
      <c r="B26" s="3">
        <v>2022</v>
      </c>
      <c r="C26" s="6">
        <f>J6</f>
        <v>14.531796072779679</v>
      </c>
      <c r="E26" s="4" t="s">
        <v>30</v>
      </c>
    </row>
    <row r="27" spans="1:19" x14ac:dyDescent="0.35">
      <c r="A27" s="1" t="s">
        <v>7</v>
      </c>
      <c r="B27" s="3">
        <v>2018</v>
      </c>
      <c r="C27" s="6">
        <f>K2</f>
        <v>15.416625837008002</v>
      </c>
      <c r="E27" s="3" t="s">
        <v>1</v>
      </c>
      <c r="F27" s="3" t="s">
        <v>3</v>
      </c>
      <c r="G27" s="3" t="s">
        <v>4</v>
      </c>
      <c r="H27" s="3" t="s">
        <v>5</v>
      </c>
      <c r="I27" s="3" t="s">
        <v>16</v>
      </c>
      <c r="J27" s="3" t="s">
        <v>6</v>
      </c>
      <c r="K27" s="3" t="s">
        <v>7</v>
      </c>
      <c r="L27" s="3" t="s">
        <v>8</v>
      </c>
      <c r="M27" s="3" t="s">
        <v>9</v>
      </c>
      <c r="N27" s="3" t="s">
        <v>10</v>
      </c>
      <c r="O27" s="3" t="s">
        <v>11</v>
      </c>
      <c r="P27" s="3" t="s">
        <v>13</v>
      </c>
      <c r="Q27" s="3" t="s">
        <v>12</v>
      </c>
      <c r="R27" s="3" t="s">
        <v>14</v>
      </c>
      <c r="S27" s="3" t="s">
        <v>15</v>
      </c>
    </row>
    <row r="28" spans="1:19" x14ac:dyDescent="0.35">
      <c r="A28" s="1" t="s">
        <v>7</v>
      </c>
      <c r="B28" s="3">
        <v>2019</v>
      </c>
      <c r="C28" s="6">
        <f>K3</f>
        <v>14.112103029416069</v>
      </c>
      <c r="E28" s="3">
        <v>2018</v>
      </c>
      <c r="F28" s="3">
        <v>11202</v>
      </c>
      <c r="G28" s="3">
        <v>7493</v>
      </c>
      <c r="H28" s="3">
        <v>12452</v>
      </c>
      <c r="I28" s="3">
        <v>5387</v>
      </c>
      <c r="J28" s="3">
        <v>8972</v>
      </c>
      <c r="K28" s="3">
        <v>10462</v>
      </c>
      <c r="L28" s="3">
        <v>9627</v>
      </c>
      <c r="M28" s="3">
        <v>7741</v>
      </c>
      <c r="N28" s="3">
        <v>5116</v>
      </c>
      <c r="O28" s="3">
        <v>5223</v>
      </c>
      <c r="P28" s="3">
        <v>3890</v>
      </c>
      <c r="Q28" s="3">
        <v>12002</v>
      </c>
      <c r="R28" s="3">
        <v>19108</v>
      </c>
      <c r="S28" s="3">
        <v>4977</v>
      </c>
    </row>
    <row r="29" spans="1:19" x14ac:dyDescent="0.35">
      <c r="A29" s="1" t="s">
        <v>7</v>
      </c>
      <c r="B29" s="3">
        <v>2020</v>
      </c>
      <c r="C29" s="6">
        <f>K4</f>
        <v>13.163555924236141</v>
      </c>
      <c r="E29" s="3">
        <v>2019</v>
      </c>
      <c r="F29" s="3">
        <v>11641</v>
      </c>
      <c r="G29" s="3">
        <v>8049</v>
      </c>
      <c r="H29" s="3">
        <v>13519</v>
      </c>
      <c r="I29" s="3">
        <v>5690</v>
      </c>
      <c r="J29" s="3">
        <v>9308</v>
      </c>
      <c r="K29" s="3">
        <v>10872</v>
      </c>
      <c r="L29" s="3">
        <v>10479</v>
      </c>
      <c r="M29" s="3">
        <v>8267</v>
      </c>
      <c r="N29" s="3">
        <v>5446</v>
      </c>
      <c r="O29" s="3">
        <v>5590</v>
      </c>
      <c r="P29" s="3">
        <v>4003</v>
      </c>
      <c r="Q29" s="3">
        <v>13103</v>
      </c>
      <c r="R29" s="3">
        <v>19761</v>
      </c>
      <c r="S29" s="3">
        <v>5141</v>
      </c>
    </row>
    <row r="30" spans="1:19" x14ac:dyDescent="0.35">
      <c r="A30" s="1" t="s">
        <v>7</v>
      </c>
      <c r="B30" s="3">
        <v>2021</v>
      </c>
      <c r="C30" s="6">
        <f>K5</f>
        <v>14.096168523889483</v>
      </c>
      <c r="E30" s="3">
        <v>2020</v>
      </c>
      <c r="F30" s="3">
        <v>11564</v>
      </c>
      <c r="G30" s="3">
        <v>8039</v>
      </c>
      <c r="H30" s="3">
        <v>13794</v>
      </c>
      <c r="I30" s="3">
        <v>5802</v>
      </c>
      <c r="J30" s="3">
        <v>9520</v>
      </c>
      <c r="K30" s="3">
        <v>10955</v>
      </c>
      <c r="L30" s="3">
        <v>10332</v>
      </c>
      <c r="M30" s="3">
        <v>8343</v>
      </c>
      <c r="N30" s="3">
        <v>5752</v>
      </c>
      <c r="O30" s="3">
        <v>5625</v>
      </c>
      <c r="P30" s="3">
        <v>4050</v>
      </c>
      <c r="Q30" s="3">
        <v>13382</v>
      </c>
      <c r="R30" s="3">
        <v>19460</v>
      </c>
      <c r="S30" s="3">
        <v>5231</v>
      </c>
    </row>
    <row r="31" spans="1:19" x14ac:dyDescent="0.35">
      <c r="A31" s="1" t="s">
        <v>7</v>
      </c>
      <c r="B31" s="3">
        <v>2022</v>
      </c>
      <c r="C31" s="6">
        <f>K6</f>
        <v>12.691098044578149</v>
      </c>
      <c r="E31" s="3">
        <v>2021</v>
      </c>
      <c r="F31" s="3">
        <v>11599</v>
      </c>
      <c r="G31" s="3">
        <v>7861</v>
      </c>
      <c r="H31" s="3">
        <v>13682</v>
      </c>
      <c r="I31" s="3">
        <v>5765</v>
      </c>
      <c r="J31" s="3">
        <v>9699</v>
      </c>
      <c r="K31" s="3">
        <v>10702</v>
      </c>
      <c r="L31" s="3">
        <v>10534</v>
      </c>
      <c r="M31" s="3">
        <v>8264</v>
      </c>
      <c r="N31" s="3">
        <v>5828</v>
      </c>
      <c r="O31" s="3">
        <v>5681</v>
      </c>
      <c r="P31" s="3">
        <v>3960</v>
      </c>
      <c r="Q31" s="3">
        <v>13295</v>
      </c>
      <c r="R31" s="3">
        <v>19132</v>
      </c>
      <c r="S31" s="3">
        <v>5192</v>
      </c>
    </row>
    <row r="32" spans="1:19" x14ac:dyDescent="0.35">
      <c r="A32" s="1" t="s">
        <v>8</v>
      </c>
      <c r="B32" s="3">
        <v>2018</v>
      </c>
      <c r="C32" s="6">
        <f>L2</f>
        <v>17.702540797355919</v>
      </c>
      <c r="E32" s="3">
        <v>2022</v>
      </c>
      <c r="F32" s="3">
        <v>12124</v>
      </c>
      <c r="G32" s="3">
        <v>7880</v>
      </c>
      <c r="H32" s="3">
        <v>13326</v>
      </c>
      <c r="I32" s="3">
        <v>5731</v>
      </c>
      <c r="J32" s="3">
        <v>9637</v>
      </c>
      <c r="K32" s="3">
        <v>10519</v>
      </c>
      <c r="L32" s="3">
        <v>10184</v>
      </c>
      <c r="M32" s="3">
        <v>7819</v>
      </c>
      <c r="N32" s="3">
        <v>5610</v>
      </c>
      <c r="O32" s="3">
        <v>5524</v>
      </c>
      <c r="P32" s="3">
        <v>3936</v>
      </c>
      <c r="Q32" s="3">
        <v>13365</v>
      </c>
      <c r="R32" s="3">
        <v>19415</v>
      </c>
      <c r="S32" s="3">
        <v>5170</v>
      </c>
    </row>
    <row r="33" spans="1:19" x14ac:dyDescent="0.35">
      <c r="A33" s="1" t="s">
        <v>8</v>
      </c>
      <c r="B33" s="3">
        <v>2019</v>
      </c>
      <c r="C33" s="6">
        <f>L3</f>
        <v>16.201858736059478</v>
      </c>
      <c r="E33" s="3" t="s">
        <v>31</v>
      </c>
      <c r="F33" s="3">
        <f t="shared" ref="F33:S33" si="7">SUM(F28:F32)</f>
        <v>58130</v>
      </c>
      <c r="G33" s="3">
        <f t="shared" si="7"/>
        <v>39322</v>
      </c>
      <c r="H33" s="3">
        <f t="shared" si="7"/>
        <v>66773</v>
      </c>
      <c r="I33" s="3">
        <f t="shared" si="7"/>
        <v>28375</v>
      </c>
      <c r="J33" s="3">
        <f t="shared" si="7"/>
        <v>47136</v>
      </c>
      <c r="K33" s="3">
        <f t="shared" si="7"/>
        <v>53510</v>
      </c>
      <c r="L33" s="3">
        <f t="shared" si="7"/>
        <v>51156</v>
      </c>
      <c r="M33" s="3">
        <f t="shared" si="7"/>
        <v>40434</v>
      </c>
      <c r="N33" s="3">
        <f t="shared" si="7"/>
        <v>27752</v>
      </c>
      <c r="O33" s="3">
        <f t="shared" si="7"/>
        <v>27643</v>
      </c>
      <c r="P33" s="3">
        <f t="shared" si="7"/>
        <v>19839</v>
      </c>
      <c r="Q33" s="3">
        <f t="shared" si="7"/>
        <v>65147</v>
      </c>
      <c r="R33" s="3">
        <f t="shared" si="7"/>
        <v>96876</v>
      </c>
      <c r="S33" s="3">
        <f t="shared" si="7"/>
        <v>25711</v>
      </c>
    </row>
    <row r="34" spans="1:19" x14ac:dyDescent="0.35">
      <c r="A34" s="1" t="s">
        <v>8</v>
      </c>
      <c r="B34" s="3">
        <v>2020</v>
      </c>
      <c r="C34" s="6">
        <f>L4</f>
        <v>15.118771929824561</v>
      </c>
      <c r="E34" s="4" t="s">
        <v>36</v>
      </c>
    </row>
    <row r="35" spans="1:19" x14ac:dyDescent="0.35">
      <c r="A35" s="1" t="s">
        <v>8</v>
      </c>
      <c r="B35" s="3">
        <v>2021</v>
      </c>
      <c r="C35" s="6">
        <f>L5</f>
        <v>16.464355278535255</v>
      </c>
      <c r="E35" s="3" t="s">
        <v>1</v>
      </c>
      <c r="F35" s="3" t="s">
        <v>3</v>
      </c>
      <c r="G35" s="3" t="s">
        <v>4</v>
      </c>
      <c r="H35" s="3" t="s">
        <v>5</v>
      </c>
      <c r="I35" s="3" t="s">
        <v>16</v>
      </c>
      <c r="J35" s="3" t="s">
        <v>6</v>
      </c>
      <c r="K35" s="3" t="s">
        <v>7</v>
      </c>
      <c r="L35" s="3" t="s">
        <v>8</v>
      </c>
      <c r="M35" s="3" t="s">
        <v>9</v>
      </c>
      <c r="N35" s="3" t="s">
        <v>10</v>
      </c>
      <c r="O35" s="3" t="s">
        <v>11</v>
      </c>
      <c r="P35" s="3" t="s">
        <v>13</v>
      </c>
      <c r="Q35" s="3" t="s">
        <v>12</v>
      </c>
      <c r="R35" s="3" t="s">
        <v>14</v>
      </c>
      <c r="S35" s="3" t="s">
        <v>15</v>
      </c>
    </row>
    <row r="36" spans="1:19" x14ac:dyDescent="0.35">
      <c r="A36" s="1" t="s">
        <v>8</v>
      </c>
      <c r="B36" s="3">
        <v>2022</v>
      </c>
      <c r="C36" s="6">
        <f>L6</f>
        <v>14.319134318103744</v>
      </c>
      <c r="E36" s="3">
        <v>2018</v>
      </c>
      <c r="F36" s="3">
        <f t="shared" ref="F36:S36" si="8">F12+F20+F28</f>
        <v>107656</v>
      </c>
      <c r="G36" s="3">
        <f t="shared" si="8"/>
        <v>56936</v>
      </c>
      <c r="H36" s="3">
        <f t="shared" si="8"/>
        <v>78273</v>
      </c>
      <c r="I36" s="3">
        <f t="shared" si="8"/>
        <v>40946</v>
      </c>
      <c r="J36" s="3">
        <f t="shared" si="8"/>
        <v>82387</v>
      </c>
      <c r="K36" s="3">
        <f t="shared" si="8"/>
        <v>94396</v>
      </c>
      <c r="L36" s="3">
        <f t="shared" si="8"/>
        <v>85698</v>
      </c>
      <c r="M36" s="3">
        <f t="shared" si="8"/>
        <v>50683</v>
      </c>
      <c r="N36" s="3">
        <f t="shared" si="8"/>
        <v>39383</v>
      </c>
      <c r="O36" s="3">
        <f t="shared" si="8"/>
        <v>39849</v>
      </c>
      <c r="P36" s="3">
        <f t="shared" si="8"/>
        <v>23446</v>
      </c>
      <c r="Q36" s="3">
        <f t="shared" si="8"/>
        <v>89614</v>
      </c>
      <c r="R36" s="3">
        <f t="shared" si="8"/>
        <v>112119</v>
      </c>
      <c r="S36" s="3">
        <f t="shared" si="8"/>
        <v>40719</v>
      </c>
    </row>
    <row r="37" spans="1:19" x14ac:dyDescent="0.35">
      <c r="A37" s="1" t="s">
        <v>9</v>
      </c>
      <c r="B37" s="3">
        <v>2018</v>
      </c>
      <c r="C37" s="6">
        <f>M2</f>
        <v>13.397568067671161</v>
      </c>
      <c r="E37" s="3">
        <v>2019</v>
      </c>
      <c r="F37" s="3">
        <f t="shared" ref="F37:S37" si="9">F13+F21+F29</f>
        <v>109101</v>
      </c>
      <c r="G37" s="3">
        <f t="shared" si="9"/>
        <v>57559</v>
      </c>
      <c r="H37" s="3">
        <f t="shared" si="9"/>
        <v>78906</v>
      </c>
      <c r="I37" s="3">
        <f t="shared" si="9"/>
        <v>41620</v>
      </c>
      <c r="J37" s="3">
        <f t="shared" si="9"/>
        <v>82717</v>
      </c>
      <c r="K37" s="3">
        <f t="shared" si="9"/>
        <v>96428</v>
      </c>
      <c r="L37" s="3">
        <f t="shared" si="9"/>
        <v>87166</v>
      </c>
      <c r="M37" s="3">
        <f t="shared" si="9"/>
        <v>51663</v>
      </c>
      <c r="N37" s="3">
        <f t="shared" si="9"/>
        <v>40002</v>
      </c>
      <c r="O37" s="3">
        <f t="shared" si="9"/>
        <v>40206</v>
      </c>
      <c r="P37" s="3">
        <f t="shared" si="9"/>
        <v>23315</v>
      </c>
      <c r="Q37" s="3">
        <f t="shared" si="9"/>
        <v>92239</v>
      </c>
      <c r="R37" s="3">
        <f t="shared" si="9"/>
        <v>113208</v>
      </c>
      <c r="S37" s="3">
        <f t="shared" si="9"/>
        <v>41546</v>
      </c>
    </row>
    <row r="38" spans="1:19" x14ac:dyDescent="0.35">
      <c r="A38" s="1" t="s">
        <v>9</v>
      </c>
      <c r="B38" s="3">
        <v>2019</v>
      </c>
      <c r="C38" s="6">
        <f>M3</f>
        <v>11.964566929133857</v>
      </c>
      <c r="E38" s="3">
        <v>2020</v>
      </c>
      <c r="F38" s="3">
        <f t="shared" ref="F38:S38" si="10">F14+F22+F30</f>
        <v>108512</v>
      </c>
      <c r="G38" s="3">
        <f t="shared" si="10"/>
        <v>57032</v>
      </c>
      <c r="H38" s="3">
        <f t="shared" si="10"/>
        <v>78134</v>
      </c>
      <c r="I38" s="3">
        <f t="shared" si="10"/>
        <v>41548</v>
      </c>
      <c r="J38" s="3">
        <f t="shared" si="10"/>
        <v>82956</v>
      </c>
      <c r="K38" s="3">
        <f t="shared" si="10"/>
        <v>95212</v>
      </c>
      <c r="L38" s="3">
        <f t="shared" si="10"/>
        <v>86177</v>
      </c>
      <c r="M38" s="3">
        <f t="shared" si="10"/>
        <v>50832</v>
      </c>
      <c r="N38" s="3">
        <f t="shared" si="10"/>
        <v>40056</v>
      </c>
      <c r="O38" s="3">
        <f t="shared" si="10"/>
        <v>39522</v>
      </c>
      <c r="P38" s="3">
        <f t="shared" si="10"/>
        <v>22908</v>
      </c>
      <c r="Q38" s="3">
        <f t="shared" si="10"/>
        <v>92285</v>
      </c>
      <c r="R38" s="3">
        <f t="shared" si="10"/>
        <v>112232</v>
      </c>
      <c r="S38" s="3">
        <f t="shared" si="10"/>
        <v>41597</v>
      </c>
    </row>
    <row r="39" spans="1:19" x14ac:dyDescent="0.35">
      <c r="A39" s="1" t="s">
        <v>9</v>
      </c>
      <c r="B39" s="3">
        <v>2020</v>
      </c>
      <c r="C39" s="6">
        <f>M4</f>
        <v>11.505658669081033</v>
      </c>
      <c r="E39" s="3">
        <v>2021</v>
      </c>
      <c r="F39" s="3">
        <f t="shared" ref="F39:S39" si="11">F15+F23+F31</f>
        <v>106664</v>
      </c>
      <c r="G39" s="3">
        <f t="shared" si="11"/>
        <v>55673</v>
      </c>
      <c r="H39" s="3">
        <f t="shared" si="11"/>
        <v>76582</v>
      </c>
      <c r="I39" s="3">
        <f t="shared" si="11"/>
        <v>40523</v>
      </c>
      <c r="J39" s="3">
        <f t="shared" si="11"/>
        <v>81370</v>
      </c>
      <c r="K39" s="3">
        <f t="shared" si="11"/>
        <v>92344</v>
      </c>
      <c r="L39" s="3">
        <f t="shared" si="11"/>
        <v>84528</v>
      </c>
      <c r="M39" s="3">
        <f t="shared" si="11"/>
        <v>49393</v>
      </c>
      <c r="N39" s="3">
        <f t="shared" si="11"/>
        <v>39620</v>
      </c>
      <c r="O39" s="3">
        <f t="shared" si="11"/>
        <v>36063</v>
      </c>
      <c r="P39" s="3">
        <f t="shared" si="11"/>
        <v>22152</v>
      </c>
      <c r="Q39" s="3">
        <f t="shared" si="11"/>
        <v>90562</v>
      </c>
      <c r="R39" s="3">
        <f t="shared" si="11"/>
        <v>108537</v>
      </c>
      <c r="S39" s="3">
        <f t="shared" si="11"/>
        <v>40962</v>
      </c>
    </row>
    <row r="40" spans="1:19" x14ac:dyDescent="0.35">
      <c r="A40" s="1" t="s">
        <v>9</v>
      </c>
      <c r="B40" s="3">
        <v>2021</v>
      </c>
      <c r="C40" s="6">
        <f>M5</f>
        <v>12.432167128114775</v>
      </c>
      <c r="E40" s="3">
        <v>2022</v>
      </c>
      <c r="F40" s="3">
        <f t="shared" ref="F40:S40" si="12">F16+F24+F32</f>
        <v>106396</v>
      </c>
      <c r="G40" s="3">
        <f t="shared" si="12"/>
        <v>55109</v>
      </c>
      <c r="H40" s="3">
        <f t="shared" si="12"/>
        <v>75977</v>
      </c>
      <c r="I40" s="3">
        <f t="shared" si="12"/>
        <v>40196</v>
      </c>
      <c r="J40" s="3">
        <f t="shared" si="12"/>
        <v>80666</v>
      </c>
      <c r="K40" s="3">
        <f t="shared" si="12"/>
        <v>92810</v>
      </c>
      <c r="L40" s="3">
        <f t="shared" si="12"/>
        <v>83366</v>
      </c>
      <c r="M40" s="3">
        <f t="shared" si="12"/>
        <v>48470</v>
      </c>
      <c r="N40" s="3">
        <f t="shared" si="12"/>
        <v>39555</v>
      </c>
      <c r="O40" s="3">
        <f t="shared" si="12"/>
        <v>38562</v>
      </c>
      <c r="P40" s="3">
        <f t="shared" si="12"/>
        <v>21765</v>
      </c>
      <c r="Q40" s="3">
        <f t="shared" si="12"/>
        <v>91748</v>
      </c>
      <c r="R40" s="3">
        <f t="shared" si="12"/>
        <v>107896</v>
      </c>
      <c r="S40" s="3">
        <f t="shared" si="12"/>
        <v>41447</v>
      </c>
    </row>
    <row r="41" spans="1:19" x14ac:dyDescent="0.35">
      <c r="A41" s="1" t="s">
        <v>9</v>
      </c>
      <c r="B41" s="3">
        <v>2022</v>
      </c>
      <c r="C41" s="6">
        <f>M6</f>
        <v>10.204210526315789</v>
      </c>
    </row>
    <row r="42" spans="1:19" x14ac:dyDescent="0.35">
      <c r="A42" s="1" t="s">
        <v>10</v>
      </c>
      <c r="B42" s="3">
        <v>2018</v>
      </c>
      <c r="C42" s="6">
        <f>N2</f>
        <v>17.175316179677278</v>
      </c>
    </row>
    <row r="43" spans="1:19" x14ac:dyDescent="0.35">
      <c r="A43" s="1" t="s">
        <v>10</v>
      </c>
      <c r="B43" s="3">
        <v>2019</v>
      </c>
      <c r="C43" s="6">
        <f>N3</f>
        <v>15.552877138413686</v>
      </c>
    </row>
    <row r="44" spans="1:19" x14ac:dyDescent="0.35">
      <c r="A44" s="1" t="s">
        <v>10</v>
      </c>
      <c r="B44" s="3">
        <v>2020</v>
      </c>
      <c r="C44" s="6">
        <f>N4</f>
        <v>15.323641928079571</v>
      </c>
      <c r="E44" s="4" t="s">
        <v>35</v>
      </c>
    </row>
    <row r="45" spans="1:19" x14ac:dyDescent="0.35">
      <c r="A45" s="1" t="s">
        <v>10</v>
      </c>
      <c r="B45" s="3">
        <v>2021</v>
      </c>
      <c r="C45" s="6">
        <f>N5</f>
        <v>17.671721677074039</v>
      </c>
      <c r="E45" s="4" t="s">
        <v>28</v>
      </c>
    </row>
    <row r="46" spans="1:19" x14ac:dyDescent="0.35">
      <c r="A46" s="1" t="s">
        <v>10</v>
      </c>
      <c r="B46" s="3">
        <v>2022</v>
      </c>
      <c r="C46" s="6">
        <f>N6</f>
        <v>15.493537015276146</v>
      </c>
      <c r="E46" s="3" t="s">
        <v>1</v>
      </c>
      <c r="F46" s="3" t="s">
        <v>3</v>
      </c>
      <c r="G46" s="3" t="s">
        <v>4</v>
      </c>
      <c r="H46" s="3" t="s">
        <v>5</v>
      </c>
      <c r="I46" s="3" t="s">
        <v>16</v>
      </c>
      <c r="J46" s="3" t="s">
        <v>6</v>
      </c>
      <c r="K46" s="3" t="s">
        <v>7</v>
      </c>
      <c r="L46" s="3" t="s">
        <v>8</v>
      </c>
      <c r="M46" s="3" t="s">
        <v>9</v>
      </c>
      <c r="N46" s="3" t="s">
        <v>10</v>
      </c>
      <c r="O46" s="3" t="s">
        <v>11</v>
      </c>
      <c r="P46" s="3" t="s">
        <v>13</v>
      </c>
      <c r="Q46" s="3" t="s">
        <v>12</v>
      </c>
      <c r="R46" s="3" t="s">
        <v>14</v>
      </c>
      <c r="S46" s="3" t="s">
        <v>15</v>
      </c>
    </row>
    <row r="47" spans="1:19" x14ac:dyDescent="0.35">
      <c r="A47" s="1" t="s">
        <v>11</v>
      </c>
      <c r="B47" s="3">
        <v>2018</v>
      </c>
      <c r="C47" s="6">
        <f>O2</f>
        <v>12.809064609450337</v>
      </c>
      <c r="E47" s="3">
        <v>2018</v>
      </c>
      <c r="F47" s="3">
        <v>3729</v>
      </c>
      <c r="G47" s="3">
        <v>2235</v>
      </c>
      <c r="H47" s="3">
        <v>2750</v>
      </c>
      <c r="I47" s="3">
        <v>1720</v>
      </c>
      <c r="J47" s="3">
        <v>3151</v>
      </c>
      <c r="K47" s="3">
        <v>4096</v>
      </c>
      <c r="L47" s="3">
        <v>3076</v>
      </c>
      <c r="M47" s="3">
        <v>2298</v>
      </c>
      <c r="N47" s="3">
        <v>1404</v>
      </c>
      <c r="O47" s="3">
        <v>1949</v>
      </c>
      <c r="P47" s="3">
        <v>1009</v>
      </c>
      <c r="Q47" s="3">
        <v>3138</v>
      </c>
      <c r="R47" s="3">
        <v>2888</v>
      </c>
      <c r="S47" s="3">
        <v>1107</v>
      </c>
    </row>
    <row r="48" spans="1:19" x14ac:dyDescent="0.35">
      <c r="A48" s="1" t="s">
        <v>11</v>
      </c>
      <c r="B48" s="3">
        <v>2019</v>
      </c>
      <c r="C48" s="6">
        <f>O3</f>
        <v>11.573402417962004</v>
      </c>
      <c r="E48" s="3">
        <v>2019</v>
      </c>
      <c r="F48" s="3">
        <v>3953</v>
      </c>
      <c r="G48" s="3">
        <v>2457</v>
      </c>
      <c r="H48" s="3">
        <v>3000</v>
      </c>
      <c r="I48" s="3">
        <v>1850</v>
      </c>
      <c r="J48" s="3">
        <v>3545</v>
      </c>
      <c r="K48" s="3">
        <v>4503</v>
      </c>
      <c r="L48" s="3">
        <v>3466</v>
      </c>
      <c r="M48" s="3">
        <v>2696</v>
      </c>
      <c r="N48" s="3">
        <v>1628</v>
      </c>
      <c r="O48" s="3">
        <v>2166</v>
      </c>
      <c r="P48" s="3">
        <v>1086</v>
      </c>
      <c r="Q48" s="3">
        <v>3523</v>
      </c>
      <c r="R48" s="3">
        <v>3034</v>
      </c>
      <c r="S48" s="3">
        <v>1192</v>
      </c>
    </row>
    <row r="49" spans="1:19" x14ac:dyDescent="0.35">
      <c r="A49" s="1" t="s">
        <v>11</v>
      </c>
      <c r="B49" s="3">
        <v>2020</v>
      </c>
      <c r="C49" s="6">
        <f>O4</f>
        <v>11.042749371332775</v>
      </c>
      <c r="E49" s="3">
        <v>2020</v>
      </c>
      <c r="F49" s="3">
        <v>3773</v>
      </c>
      <c r="G49" s="3">
        <v>2358</v>
      </c>
      <c r="H49" s="3">
        <v>2538</v>
      </c>
      <c r="I49" s="3">
        <v>1954</v>
      </c>
      <c r="J49" s="3">
        <v>3683</v>
      </c>
      <c r="K49" s="3">
        <v>4695</v>
      </c>
      <c r="L49" s="3">
        <v>3627</v>
      </c>
      <c r="M49" s="3">
        <v>2760</v>
      </c>
      <c r="N49" s="3">
        <v>1644</v>
      </c>
      <c r="O49" s="3">
        <v>2222</v>
      </c>
      <c r="P49" s="3">
        <v>1096</v>
      </c>
      <c r="Q49" s="3">
        <v>3633</v>
      </c>
      <c r="R49" s="3">
        <v>3203</v>
      </c>
      <c r="S49" s="3">
        <v>1333</v>
      </c>
    </row>
    <row r="50" spans="1:19" x14ac:dyDescent="0.35">
      <c r="A50" s="1" t="s">
        <v>11</v>
      </c>
      <c r="B50" s="3">
        <v>2021</v>
      </c>
      <c r="C50" s="6">
        <f>O5</f>
        <v>11.390713834491471</v>
      </c>
      <c r="E50" s="3">
        <v>2021</v>
      </c>
      <c r="F50" s="3">
        <v>3414</v>
      </c>
      <c r="G50" s="3">
        <v>2097</v>
      </c>
      <c r="H50" s="3">
        <v>2675</v>
      </c>
      <c r="I50" s="3">
        <v>1688</v>
      </c>
      <c r="J50" s="3">
        <v>3116</v>
      </c>
      <c r="K50" s="3">
        <v>4046</v>
      </c>
      <c r="L50" s="3">
        <v>3168</v>
      </c>
      <c r="M50" s="3">
        <v>2397</v>
      </c>
      <c r="N50" s="3">
        <v>1363</v>
      </c>
      <c r="O50" s="3">
        <v>1936</v>
      </c>
      <c r="P50" s="3">
        <v>1013</v>
      </c>
      <c r="Q50" s="3">
        <v>3215</v>
      </c>
      <c r="R50" s="3">
        <v>2906</v>
      </c>
      <c r="S50" s="3">
        <v>1284</v>
      </c>
    </row>
    <row r="51" spans="1:19" x14ac:dyDescent="0.35">
      <c r="A51" s="1" t="s">
        <v>11</v>
      </c>
      <c r="B51" s="3">
        <v>2022</v>
      </c>
      <c r="C51" s="6">
        <f>O6</f>
        <v>10.422162162162163</v>
      </c>
      <c r="E51" s="3">
        <v>2022</v>
      </c>
      <c r="F51" s="3">
        <v>3957</v>
      </c>
      <c r="G51" s="3">
        <v>2377</v>
      </c>
      <c r="H51" s="3">
        <v>3129</v>
      </c>
      <c r="I51" s="3">
        <v>1894</v>
      </c>
      <c r="J51" s="3">
        <v>3712</v>
      </c>
      <c r="K51" s="3">
        <v>4655</v>
      </c>
      <c r="L51" s="3">
        <v>3625</v>
      </c>
      <c r="M51" s="3">
        <v>2962</v>
      </c>
      <c r="N51" s="3">
        <v>1608</v>
      </c>
      <c r="O51" s="3">
        <v>2299</v>
      </c>
      <c r="P51" s="3">
        <v>1110</v>
      </c>
      <c r="Q51" s="3">
        <v>3729</v>
      </c>
      <c r="R51" s="3">
        <v>3052</v>
      </c>
      <c r="S51" s="3">
        <v>1431</v>
      </c>
    </row>
    <row r="52" spans="1:19" x14ac:dyDescent="0.35">
      <c r="A52" s="1" t="s">
        <v>13</v>
      </c>
      <c r="B52" s="3">
        <v>2018</v>
      </c>
      <c r="C52" s="6">
        <f>P2</f>
        <v>14.132610006027727</v>
      </c>
      <c r="E52" s="3" t="s">
        <v>31</v>
      </c>
      <c r="F52" s="3">
        <f t="shared" ref="F52:S52" si="13">SUM(F47:F51)</f>
        <v>18826</v>
      </c>
      <c r="G52" s="3">
        <f t="shared" si="13"/>
        <v>11524</v>
      </c>
      <c r="H52" s="3">
        <f t="shared" si="13"/>
        <v>14092</v>
      </c>
      <c r="I52" s="3">
        <f t="shared" si="13"/>
        <v>9106</v>
      </c>
      <c r="J52" s="3">
        <f t="shared" si="13"/>
        <v>17207</v>
      </c>
      <c r="K52" s="3">
        <f t="shared" si="13"/>
        <v>21995</v>
      </c>
      <c r="L52" s="3">
        <f t="shared" si="13"/>
        <v>16962</v>
      </c>
      <c r="M52" s="3">
        <f t="shared" si="13"/>
        <v>13113</v>
      </c>
      <c r="N52" s="3">
        <f t="shared" si="13"/>
        <v>7647</v>
      </c>
      <c r="O52" s="3">
        <f t="shared" si="13"/>
        <v>10572</v>
      </c>
      <c r="P52" s="3">
        <f t="shared" si="13"/>
        <v>5314</v>
      </c>
      <c r="Q52" s="3">
        <f t="shared" si="13"/>
        <v>17238</v>
      </c>
      <c r="R52" s="3">
        <f t="shared" si="13"/>
        <v>15083</v>
      </c>
      <c r="S52" s="3">
        <f t="shared" si="13"/>
        <v>6347</v>
      </c>
    </row>
    <row r="53" spans="1:19" x14ac:dyDescent="0.35">
      <c r="A53" s="1" t="s">
        <v>13</v>
      </c>
      <c r="B53" s="3">
        <v>2019</v>
      </c>
      <c r="C53" s="6">
        <f>P3</f>
        <v>13.090960134755756</v>
      </c>
      <c r="E53" s="4" t="s">
        <v>29</v>
      </c>
    </row>
    <row r="54" spans="1:19" x14ac:dyDescent="0.35">
      <c r="A54" s="1" t="s">
        <v>13</v>
      </c>
      <c r="B54" s="3">
        <v>2020</v>
      </c>
      <c r="C54" s="6">
        <f>P4</f>
        <v>12.762116991643454</v>
      </c>
      <c r="E54" s="3" t="s">
        <v>1</v>
      </c>
      <c r="F54" s="3" t="s">
        <v>3</v>
      </c>
      <c r="G54" s="3" t="s">
        <v>4</v>
      </c>
      <c r="H54" s="3" t="s">
        <v>5</v>
      </c>
      <c r="I54" s="3" t="s">
        <v>16</v>
      </c>
      <c r="J54" s="3" t="s">
        <v>6</v>
      </c>
      <c r="K54" s="3" t="s">
        <v>7</v>
      </c>
      <c r="L54" s="3" t="s">
        <v>8</v>
      </c>
      <c r="M54" s="3" t="s">
        <v>9</v>
      </c>
      <c r="N54" s="3" t="s">
        <v>10</v>
      </c>
      <c r="O54" s="3" t="s">
        <v>11</v>
      </c>
      <c r="P54" s="3" t="s">
        <v>13</v>
      </c>
      <c r="Q54" s="3" t="s">
        <v>12</v>
      </c>
      <c r="R54" s="3" t="s">
        <v>14</v>
      </c>
      <c r="S54" s="3" t="s">
        <v>15</v>
      </c>
    </row>
    <row r="55" spans="1:19" x14ac:dyDescent="0.35">
      <c r="A55" s="1" t="s">
        <v>13</v>
      </c>
      <c r="B55" s="3">
        <v>2021</v>
      </c>
      <c r="C55" s="6">
        <f>P5</f>
        <v>13.288542291541692</v>
      </c>
      <c r="E55" s="3">
        <v>2018</v>
      </c>
      <c r="F55" s="3">
        <v>1544</v>
      </c>
      <c r="G55" s="3">
        <v>872</v>
      </c>
      <c r="H55" s="3">
        <v>1161</v>
      </c>
      <c r="I55" s="3">
        <v>617</v>
      </c>
      <c r="J55" s="3">
        <v>1187</v>
      </c>
      <c r="K55" s="3">
        <v>1437</v>
      </c>
      <c r="L55" s="3">
        <v>1192</v>
      </c>
      <c r="M55" s="3">
        <v>978</v>
      </c>
      <c r="N55" s="3">
        <v>593</v>
      </c>
      <c r="O55" s="3">
        <v>839</v>
      </c>
      <c r="P55" s="3">
        <v>437</v>
      </c>
      <c r="Q55" s="3">
        <v>1315</v>
      </c>
      <c r="R55" s="3">
        <v>1455</v>
      </c>
      <c r="S55" s="3">
        <v>557</v>
      </c>
    </row>
    <row r="56" spans="1:19" x14ac:dyDescent="0.35">
      <c r="A56" s="1" t="s">
        <v>13</v>
      </c>
      <c r="B56" s="3">
        <v>2022</v>
      </c>
      <c r="C56" s="6">
        <f>P6</f>
        <v>11.733153638814017</v>
      </c>
      <c r="E56" s="3">
        <v>2019</v>
      </c>
      <c r="F56" s="3">
        <v>1644</v>
      </c>
      <c r="G56" s="3">
        <v>949</v>
      </c>
      <c r="H56" s="3">
        <v>1280</v>
      </c>
      <c r="I56" s="3">
        <v>649</v>
      </c>
      <c r="J56" s="3">
        <v>1331</v>
      </c>
      <c r="K56" s="3">
        <v>1729</v>
      </c>
      <c r="L56" s="3">
        <v>1298</v>
      </c>
      <c r="M56" s="3">
        <v>1110</v>
      </c>
      <c r="N56" s="3">
        <v>639</v>
      </c>
      <c r="O56" s="3">
        <v>968</v>
      </c>
      <c r="P56" s="3">
        <v>468</v>
      </c>
      <c r="Q56" s="3">
        <v>1492</v>
      </c>
      <c r="R56" s="3">
        <v>1550</v>
      </c>
      <c r="S56" s="3">
        <v>561</v>
      </c>
    </row>
    <row r="57" spans="1:19" x14ac:dyDescent="0.35">
      <c r="A57" s="1" t="s">
        <v>12</v>
      </c>
      <c r="B57" s="3">
        <v>2018</v>
      </c>
      <c r="C57" s="6">
        <f>Q2</f>
        <v>16.84157113324563</v>
      </c>
      <c r="E57" s="3">
        <v>2020</v>
      </c>
      <c r="F57" s="3">
        <v>1666</v>
      </c>
      <c r="G57" s="3">
        <v>971</v>
      </c>
      <c r="H57" s="3">
        <v>1398</v>
      </c>
      <c r="I57" s="3">
        <v>678</v>
      </c>
      <c r="J57" s="3">
        <v>1375</v>
      </c>
      <c r="K57" s="3">
        <v>1907</v>
      </c>
      <c r="L57" s="3">
        <v>1452</v>
      </c>
      <c r="M57" s="3">
        <v>1143</v>
      </c>
      <c r="N57" s="3">
        <v>663</v>
      </c>
      <c r="O57" s="3">
        <v>997</v>
      </c>
      <c r="P57" s="3">
        <v>476</v>
      </c>
      <c r="Q57" s="3">
        <v>1530</v>
      </c>
      <c r="R57" s="3">
        <v>1627</v>
      </c>
      <c r="S57" s="3">
        <v>650</v>
      </c>
    </row>
    <row r="58" spans="1:19" x14ac:dyDescent="0.35">
      <c r="A58" s="1" t="s">
        <v>12</v>
      </c>
      <c r="B58" s="3">
        <v>2019</v>
      </c>
      <c r="C58" s="6">
        <f>Q3</f>
        <v>15.63903017972194</v>
      </c>
      <c r="E58" s="3">
        <v>2021</v>
      </c>
      <c r="F58" s="3">
        <v>1515</v>
      </c>
      <c r="G58" s="3">
        <v>909</v>
      </c>
      <c r="H58" s="3">
        <v>1257</v>
      </c>
      <c r="I58" s="3">
        <v>615</v>
      </c>
      <c r="J58" s="3">
        <v>1211</v>
      </c>
      <c r="K58" s="3">
        <v>1911</v>
      </c>
      <c r="L58" s="3">
        <v>1391</v>
      </c>
      <c r="M58" s="3">
        <v>1086</v>
      </c>
      <c r="N58" s="3">
        <v>605</v>
      </c>
      <c r="O58" s="3">
        <v>901</v>
      </c>
      <c r="P58" s="3">
        <v>442</v>
      </c>
      <c r="Q58" s="3">
        <v>1437</v>
      </c>
      <c r="R58" s="3">
        <v>1461</v>
      </c>
      <c r="S58" s="3">
        <v>628</v>
      </c>
    </row>
    <row r="59" spans="1:19" x14ac:dyDescent="0.35">
      <c r="A59" s="1" t="s">
        <v>12</v>
      </c>
      <c r="B59" s="3">
        <v>2020</v>
      </c>
      <c r="C59" s="6">
        <f>Q4</f>
        <v>15.238606340819022</v>
      </c>
      <c r="E59" s="3">
        <v>2022</v>
      </c>
      <c r="F59" s="3">
        <v>1737</v>
      </c>
      <c r="G59" s="3">
        <v>932</v>
      </c>
      <c r="H59" s="3">
        <v>1372</v>
      </c>
      <c r="I59" s="3">
        <v>659</v>
      </c>
      <c r="J59" s="3">
        <v>1334</v>
      </c>
      <c r="K59" s="3">
        <v>2024</v>
      </c>
      <c r="L59" s="3">
        <v>1519</v>
      </c>
      <c r="M59" s="3">
        <v>1243</v>
      </c>
      <c r="N59" s="3">
        <v>619</v>
      </c>
      <c r="O59" s="3">
        <v>1034</v>
      </c>
      <c r="P59" s="3">
        <v>484</v>
      </c>
      <c r="Q59" s="3">
        <v>1583</v>
      </c>
      <c r="R59" s="3">
        <v>1520</v>
      </c>
      <c r="S59" s="3">
        <v>658</v>
      </c>
    </row>
    <row r="60" spans="1:19" x14ac:dyDescent="0.35">
      <c r="A60" s="1" t="s">
        <v>12</v>
      </c>
      <c r="B60" s="3">
        <v>2021</v>
      </c>
      <c r="C60" s="6">
        <f>Q5</f>
        <v>16.52892863661252</v>
      </c>
      <c r="E60" s="3" t="s">
        <v>31</v>
      </c>
      <c r="F60" s="3">
        <f t="shared" ref="F60:S60" si="14">SUM(F55:F59)</f>
        <v>8106</v>
      </c>
      <c r="G60" s="3">
        <f t="shared" si="14"/>
        <v>4633</v>
      </c>
      <c r="H60" s="3">
        <f t="shared" si="14"/>
        <v>6468</v>
      </c>
      <c r="I60" s="3">
        <f t="shared" si="14"/>
        <v>3218</v>
      </c>
      <c r="J60" s="3">
        <f t="shared" si="14"/>
        <v>6438</v>
      </c>
      <c r="K60" s="3">
        <f t="shared" si="14"/>
        <v>9008</v>
      </c>
      <c r="L60" s="3">
        <f t="shared" si="14"/>
        <v>6852</v>
      </c>
      <c r="M60" s="3">
        <f t="shared" si="14"/>
        <v>5560</v>
      </c>
      <c r="N60" s="3">
        <f t="shared" si="14"/>
        <v>3119</v>
      </c>
      <c r="O60" s="3">
        <f t="shared" si="14"/>
        <v>4739</v>
      </c>
      <c r="P60" s="3">
        <f t="shared" si="14"/>
        <v>2307</v>
      </c>
      <c r="Q60" s="3">
        <f t="shared" si="14"/>
        <v>7357</v>
      </c>
      <c r="R60" s="3">
        <f t="shared" si="14"/>
        <v>7613</v>
      </c>
      <c r="S60" s="3">
        <f t="shared" si="14"/>
        <v>3054</v>
      </c>
    </row>
    <row r="61" spans="1:19" x14ac:dyDescent="0.35">
      <c r="A61" s="1" t="s">
        <v>12</v>
      </c>
      <c r="B61" s="3">
        <v>2022</v>
      </c>
      <c r="C61" s="6">
        <f>Q6</f>
        <v>14.672637134175595</v>
      </c>
      <c r="E61" t="s">
        <v>30</v>
      </c>
    </row>
    <row r="62" spans="1:19" x14ac:dyDescent="0.35">
      <c r="A62" s="1" t="s">
        <v>14</v>
      </c>
      <c r="B62" s="3">
        <v>2018</v>
      </c>
      <c r="C62" s="6">
        <f>R2</f>
        <v>20.568519537699505</v>
      </c>
      <c r="E62" s="3" t="s">
        <v>1</v>
      </c>
      <c r="F62" s="3" t="s">
        <v>3</v>
      </c>
      <c r="G62" s="3" t="s">
        <v>4</v>
      </c>
      <c r="H62" s="3" t="s">
        <v>5</v>
      </c>
      <c r="I62" s="3" t="s">
        <v>16</v>
      </c>
      <c r="J62" s="3" t="s">
        <v>6</v>
      </c>
      <c r="K62" s="3" t="s">
        <v>7</v>
      </c>
      <c r="L62" s="3" t="s">
        <v>8</v>
      </c>
      <c r="M62" s="3" t="s">
        <v>9</v>
      </c>
      <c r="N62" s="3" t="s">
        <v>10</v>
      </c>
      <c r="O62" s="3" t="s">
        <v>11</v>
      </c>
      <c r="P62" s="3" t="s">
        <v>13</v>
      </c>
      <c r="Q62" s="3" t="s">
        <v>12</v>
      </c>
      <c r="R62" s="3" t="s">
        <v>14</v>
      </c>
      <c r="S62" s="3" t="s">
        <v>15</v>
      </c>
    </row>
    <row r="63" spans="1:19" x14ac:dyDescent="0.35">
      <c r="A63" s="1" t="s">
        <v>14</v>
      </c>
      <c r="B63" s="3">
        <v>2019</v>
      </c>
      <c r="C63" s="6">
        <f>R3</f>
        <v>19.875</v>
      </c>
      <c r="E63" s="3">
        <v>2018</v>
      </c>
      <c r="F63" s="3">
        <v>651</v>
      </c>
      <c r="G63" s="3">
        <v>471</v>
      </c>
      <c r="H63" s="3">
        <v>667</v>
      </c>
      <c r="I63" s="3">
        <v>358</v>
      </c>
      <c r="J63" s="3">
        <v>521</v>
      </c>
      <c r="K63" s="3">
        <v>590</v>
      </c>
      <c r="L63" s="3">
        <v>573</v>
      </c>
      <c r="M63" s="3">
        <v>507</v>
      </c>
      <c r="N63" s="3">
        <v>296</v>
      </c>
      <c r="O63" s="3">
        <v>323</v>
      </c>
      <c r="P63" s="3">
        <v>213</v>
      </c>
      <c r="Q63" s="3">
        <v>868</v>
      </c>
      <c r="R63" s="3">
        <v>1108</v>
      </c>
      <c r="S63" s="3">
        <v>339</v>
      </c>
    </row>
    <row r="64" spans="1:19" x14ac:dyDescent="0.35">
      <c r="A64" s="1" t="s">
        <v>14</v>
      </c>
      <c r="B64" s="3">
        <v>2020</v>
      </c>
      <c r="C64" s="6">
        <f>R4</f>
        <v>18.699100299900035</v>
      </c>
      <c r="E64" s="3">
        <v>2019</v>
      </c>
      <c r="F64" s="3">
        <v>680</v>
      </c>
      <c r="G64" s="3">
        <v>504</v>
      </c>
      <c r="H64" s="3">
        <v>705</v>
      </c>
      <c r="I64" s="3">
        <v>318</v>
      </c>
      <c r="J64" s="3">
        <v>496</v>
      </c>
      <c r="K64" s="3">
        <v>601</v>
      </c>
      <c r="L64" s="3">
        <v>616</v>
      </c>
      <c r="M64" s="3">
        <v>512</v>
      </c>
      <c r="N64" s="3">
        <v>305</v>
      </c>
      <c r="O64" s="3">
        <v>340</v>
      </c>
      <c r="P64" s="3">
        <v>227</v>
      </c>
      <c r="Q64" s="3">
        <v>883</v>
      </c>
      <c r="R64" s="3">
        <v>1112</v>
      </c>
      <c r="S64" s="3">
        <v>340</v>
      </c>
    </row>
    <row r="65" spans="1:19" x14ac:dyDescent="0.35">
      <c r="A65" s="1" t="s">
        <v>14</v>
      </c>
      <c r="B65" s="3">
        <v>2021</v>
      </c>
      <c r="C65" s="6">
        <f>R5</f>
        <v>19.842230347349176</v>
      </c>
      <c r="E65" s="3">
        <v>2020</v>
      </c>
      <c r="F65" s="3">
        <v>693</v>
      </c>
      <c r="G65" s="3">
        <v>525</v>
      </c>
      <c r="H65" s="3">
        <v>731</v>
      </c>
      <c r="I65" s="3">
        <v>333</v>
      </c>
      <c r="J65" s="3">
        <v>503</v>
      </c>
      <c r="K65" s="3">
        <v>631</v>
      </c>
      <c r="L65" s="3">
        <v>621</v>
      </c>
      <c r="M65" s="3">
        <v>515</v>
      </c>
      <c r="N65" s="3">
        <v>307</v>
      </c>
      <c r="O65" s="3">
        <v>360</v>
      </c>
      <c r="P65" s="3">
        <v>223</v>
      </c>
      <c r="Q65" s="3">
        <v>893</v>
      </c>
      <c r="R65" s="3">
        <v>1172</v>
      </c>
      <c r="S65" s="3">
        <v>350</v>
      </c>
    </row>
    <row r="66" spans="1:19" x14ac:dyDescent="0.35">
      <c r="A66" s="1" t="s">
        <v>14</v>
      </c>
      <c r="B66" s="3">
        <v>2022</v>
      </c>
      <c r="C66" s="6">
        <f>R6</f>
        <v>18.757997218358831</v>
      </c>
      <c r="E66" s="3">
        <v>2021</v>
      </c>
      <c r="F66" s="3">
        <v>634</v>
      </c>
      <c r="G66" s="3">
        <v>483</v>
      </c>
      <c r="H66" s="3">
        <v>665</v>
      </c>
      <c r="I66" s="3">
        <v>319</v>
      </c>
      <c r="J66" s="3">
        <v>459</v>
      </c>
      <c r="K66" s="3">
        <v>594</v>
      </c>
      <c r="L66" s="3">
        <v>575</v>
      </c>
      <c r="M66" s="3">
        <v>490</v>
      </c>
      <c r="N66" s="3">
        <v>274</v>
      </c>
      <c r="O66" s="3">
        <v>329</v>
      </c>
      <c r="P66" s="3">
        <v>212</v>
      </c>
      <c r="Q66" s="3">
        <v>827</v>
      </c>
      <c r="R66" s="3">
        <v>1103</v>
      </c>
      <c r="S66" s="3">
        <v>324</v>
      </c>
    </row>
    <row r="67" spans="1:19" x14ac:dyDescent="0.35">
      <c r="A67" s="1" t="s">
        <v>15</v>
      </c>
      <c r="B67" s="3">
        <v>2018</v>
      </c>
      <c r="C67" s="6">
        <f>S2</f>
        <v>20.329006490264604</v>
      </c>
      <c r="E67" s="3">
        <v>2022</v>
      </c>
      <c r="F67" s="3">
        <v>706</v>
      </c>
      <c r="G67" s="3">
        <v>551</v>
      </c>
      <c r="H67" s="3">
        <v>734</v>
      </c>
      <c r="I67" s="3">
        <v>343</v>
      </c>
      <c r="J67" s="3">
        <v>505</v>
      </c>
      <c r="K67" s="3">
        <v>634</v>
      </c>
      <c r="L67" s="3">
        <v>678</v>
      </c>
      <c r="M67" s="3">
        <v>545</v>
      </c>
      <c r="N67" s="3">
        <v>326</v>
      </c>
      <c r="O67" s="3">
        <v>367</v>
      </c>
      <c r="P67" s="3">
        <v>261</v>
      </c>
      <c r="Q67" s="3">
        <v>941</v>
      </c>
      <c r="R67" s="3">
        <v>1180</v>
      </c>
      <c r="S67" s="3">
        <v>349</v>
      </c>
    </row>
    <row r="68" spans="1:19" x14ac:dyDescent="0.35">
      <c r="A68" s="1" t="s">
        <v>15</v>
      </c>
      <c r="B68" s="3">
        <v>2019</v>
      </c>
      <c r="C68" s="6">
        <f t="shared" ref="C68:C71" si="15">S3</f>
        <v>19.849976110845677</v>
      </c>
      <c r="E68" s="3" t="s">
        <v>31</v>
      </c>
      <c r="F68" s="3">
        <f t="shared" ref="F68:S68" si="16">SUM(F63:F67)</f>
        <v>3364</v>
      </c>
      <c r="G68" s="3">
        <f t="shared" si="16"/>
        <v>2534</v>
      </c>
      <c r="H68" s="3">
        <f t="shared" si="16"/>
        <v>3502</v>
      </c>
      <c r="I68" s="3">
        <f t="shared" si="16"/>
        <v>1671</v>
      </c>
      <c r="J68" s="3">
        <f t="shared" si="16"/>
        <v>2484</v>
      </c>
      <c r="K68" s="3">
        <f t="shared" si="16"/>
        <v>3050</v>
      </c>
      <c r="L68" s="3">
        <f t="shared" si="16"/>
        <v>3063</v>
      </c>
      <c r="M68" s="3">
        <f t="shared" si="16"/>
        <v>2569</v>
      </c>
      <c r="N68" s="3">
        <f t="shared" si="16"/>
        <v>1508</v>
      </c>
      <c r="O68" s="3">
        <f t="shared" si="16"/>
        <v>1719</v>
      </c>
      <c r="P68" s="3">
        <f t="shared" si="16"/>
        <v>1136</v>
      </c>
      <c r="Q68" s="3">
        <f t="shared" si="16"/>
        <v>4412</v>
      </c>
      <c r="R68" s="3">
        <f t="shared" si="16"/>
        <v>5675</v>
      </c>
      <c r="S68" s="3">
        <f t="shared" si="16"/>
        <v>1702</v>
      </c>
    </row>
    <row r="69" spans="1:19" x14ac:dyDescent="0.35">
      <c r="A69" s="1" t="s">
        <v>15</v>
      </c>
      <c r="B69" s="3">
        <v>2020</v>
      </c>
      <c r="C69" s="6">
        <f t="shared" si="15"/>
        <v>17.829832833261893</v>
      </c>
      <c r="E69" t="s">
        <v>37</v>
      </c>
    </row>
    <row r="70" spans="1:19" x14ac:dyDescent="0.35">
      <c r="A70" s="1" t="s">
        <v>15</v>
      </c>
      <c r="B70" s="3">
        <v>2021</v>
      </c>
      <c r="C70" s="6">
        <f t="shared" si="15"/>
        <v>18.319320214669052</v>
      </c>
      <c r="E70" s="3" t="s">
        <v>1</v>
      </c>
      <c r="F70" s="3" t="s">
        <v>3</v>
      </c>
      <c r="G70" s="3" t="s">
        <v>4</v>
      </c>
      <c r="H70" s="3" t="s">
        <v>5</v>
      </c>
      <c r="I70" s="3" t="s">
        <v>16</v>
      </c>
      <c r="J70" s="3" t="s">
        <v>6</v>
      </c>
      <c r="K70" s="3" t="s">
        <v>7</v>
      </c>
      <c r="L70" s="3" t="s">
        <v>8</v>
      </c>
      <c r="M70" s="3" t="s">
        <v>9</v>
      </c>
      <c r="N70" s="3" t="s">
        <v>10</v>
      </c>
      <c r="O70" s="3" t="s">
        <v>11</v>
      </c>
      <c r="P70" s="3" t="s">
        <v>13</v>
      </c>
      <c r="Q70" s="3" t="s">
        <v>12</v>
      </c>
      <c r="R70" s="3" t="s">
        <v>14</v>
      </c>
      <c r="S70" s="3" t="s">
        <v>15</v>
      </c>
    </row>
    <row r="71" spans="1:19" x14ac:dyDescent="0.35">
      <c r="A71" s="1" t="s">
        <v>15</v>
      </c>
      <c r="B71" s="3">
        <v>2022</v>
      </c>
      <c r="C71" s="6">
        <f t="shared" si="15"/>
        <v>17.000410172272353</v>
      </c>
      <c r="E71" s="3">
        <v>2018</v>
      </c>
      <c r="F71" s="3">
        <f t="shared" ref="F71:S71" si="17">F47+F55+F63</f>
        <v>5924</v>
      </c>
      <c r="G71" s="3">
        <f t="shared" si="17"/>
        <v>3578</v>
      </c>
      <c r="H71" s="3">
        <f t="shared" si="17"/>
        <v>4578</v>
      </c>
      <c r="I71" s="3">
        <f t="shared" si="17"/>
        <v>2695</v>
      </c>
      <c r="J71" s="3">
        <f t="shared" si="17"/>
        <v>4859</v>
      </c>
      <c r="K71" s="3">
        <f t="shared" si="17"/>
        <v>6123</v>
      </c>
      <c r="L71" s="3">
        <f t="shared" si="17"/>
        <v>4841</v>
      </c>
      <c r="M71" s="3">
        <f t="shared" si="17"/>
        <v>3783</v>
      </c>
      <c r="N71" s="3">
        <f t="shared" si="17"/>
        <v>2293</v>
      </c>
      <c r="O71" s="3">
        <f t="shared" si="17"/>
        <v>3111</v>
      </c>
      <c r="P71" s="3">
        <f t="shared" si="17"/>
        <v>1659</v>
      </c>
      <c r="Q71" s="3">
        <f t="shared" si="17"/>
        <v>5321</v>
      </c>
      <c r="R71" s="3">
        <f t="shared" si="17"/>
        <v>5451</v>
      </c>
      <c r="S71" s="3">
        <f t="shared" si="17"/>
        <v>2003</v>
      </c>
    </row>
    <row r="72" spans="1:19" x14ac:dyDescent="0.35">
      <c r="E72" s="3">
        <v>2019</v>
      </c>
      <c r="F72" s="3">
        <f t="shared" ref="F72:S72" si="18">F48+F56+F64</f>
        <v>6277</v>
      </c>
      <c r="G72" s="3">
        <f t="shared" si="18"/>
        <v>3910</v>
      </c>
      <c r="H72" s="3">
        <f t="shared" si="18"/>
        <v>4985</v>
      </c>
      <c r="I72" s="3">
        <f t="shared" si="18"/>
        <v>2817</v>
      </c>
      <c r="J72" s="3">
        <f t="shared" si="18"/>
        <v>5372</v>
      </c>
      <c r="K72" s="3">
        <f t="shared" si="18"/>
        <v>6833</v>
      </c>
      <c r="L72" s="3">
        <f t="shared" si="18"/>
        <v>5380</v>
      </c>
      <c r="M72" s="3">
        <f t="shared" si="18"/>
        <v>4318</v>
      </c>
      <c r="N72" s="3">
        <f t="shared" si="18"/>
        <v>2572</v>
      </c>
      <c r="O72" s="3">
        <f t="shared" si="18"/>
        <v>3474</v>
      </c>
      <c r="P72" s="3">
        <f t="shared" si="18"/>
        <v>1781</v>
      </c>
      <c r="Q72" s="3">
        <f t="shared" si="18"/>
        <v>5898</v>
      </c>
      <c r="R72" s="3">
        <f t="shared" si="18"/>
        <v>5696</v>
      </c>
      <c r="S72" s="3">
        <f t="shared" si="18"/>
        <v>2093</v>
      </c>
    </row>
    <row r="73" spans="1:19" x14ac:dyDescent="0.35">
      <c r="E73" s="3">
        <v>2020</v>
      </c>
      <c r="F73" s="3">
        <f t="shared" ref="F73:S73" si="19">F49+F57+F65</f>
        <v>6132</v>
      </c>
      <c r="G73" s="3">
        <f t="shared" si="19"/>
        <v>3854</v>
      </c>
      <c r="H73" s="3">
        <f t="shared" si="19"/>
        <v>4667</v>
      </c>
      <c r="I73" s="3">
        <f t="shared" si="19"/>
        <v>2965</v>
      </c>
      <c r="J73" s="3">
        <f t="shared" si="19"/>
        <v>5561</v>
      </c>
      <c r="K73" s="3">
        <f t="shared" si="19"/>
        <v>7233</v>
      </c>
      <c r="L73" s="3">
        <f t="shared" si="19"/>
        <v>5700</v>
      </c>
      <c r="M73" s="3">
        <f t="shared" si="19"/>
        <v>4418</v>
      </c>
      <c r="N73" s="3">
        <f t="shared" si="19"/>
        <v>2614</v>
      </c>
      <c r="O73" s="3">
        <f t="shared" si="19"/>
        <v>3579</v>
      </c>
      <c r="P73" s="3">
        <f t="shared" si="19"/>
        <v>1795</v>
      </c>
      <c r="Q73" s="3">
        <f t="shared" si="19"/>
        <v>6056</v>
      </c>
      <c r="R73" s="3">
        <f t="shared" si="19"/>
        <v>6002</v>
      </c>
      <c r="S73" s="3">
        <f t="shared" si="19"/>
        <v>2333</v>
      </c>
    </row>
    <row r="74" spans="1:19" x14ac:dyDescent="0.35">
      <c r="E74" s="3">
        <v>2021</v>
      </c>
      <c r="F74" s="3">
        <f t="shared" ref="F74:S74" si="20">F50+F58+F66</f>
        <v>5563</v>
      </c>
      <c r="G74" s="3">
        <f t="shared" si="20"/>
        <v>3489</v>
      </c>
      <c r="H74" s="3">
        <f t="shared" si="20"/>
        <v>4597</v>
      </c>
      <c r="I74" s="3">
        <f t="shared" si="20"/>
        <v>2622</v>
      </c>
      <c r="J74" s="3">
        <f t="shared" si="20"/>
        <v>4786</v>
      </c>
      <c r="K74" s="3">
        <f t="shared" si="20"/>
        <v>6551</v>
      </c>
      <c r="L74" s="3">
        <f t="shared" si="20"/>
        <v>5134</v>
      </c>
      <c r="M74" s="3">
        <f t="shared" si="20"/>
        <v>3973</v>
      </c>
      <c r="N74" s="3">
        <f t="shared" si="20"/>
        <v>2242</v>
      </c>
      <c r="O74" s="3">
        <f t="shared" si="20"/>
        <v>3166</v>
      </c>
      <c r="P74" s="3">
        <f t="shared" si="20"/>
        <v>1667</v>
      </c>
      <c r="Q74" s="3">
        <f t="shared" si="20"/>
        <v>5479</v>
      </c>
      <c r="R74" s="3">
        <f t="shared" si="20"/>
        <v>5470</v>
      </c>
      <c r="S74" s="3">
        <f t="shared" si="20"/>
        <v>2236</v>
      </c>
    </row>
    <row r="75" spans="1:19" x14ac:dyDescent="0.35">
      <c r="E75" s="3">
        <v>2022</v>
      </c>
      <c r="F75" s="3">
        <f t="shared" ref="F75:S75" si="21">F51+F59+F67</f>
        <v>6400</v>
      </c>
      <c r="G75" s="3">
        <f t="shared" si="21"/>
        <v>3860</v>
      </c>
      <c r="H75" s="3">
        <f t="shared" si="21"/>
        <v>5235</v>
      </c>
      <c r="I75" s="3">
        <f t="shared" si="21"/>
        <v>2896</v>
      </c>
      <c r="J75" s="3">
        <f t="shared" si="21"/>
        <v>5551</v>
      </c>
      <c r="K75" s="3">
        <f t="shared" si="21"/>
        <v>7313</v>
      </c>
      <c r="L75" s="3">
        <f t="shared" si="21"/>
        <v>5822</v>
      </c>
      <c r="M75" s="3">
        <f t="shared" si="21"/>
        <v>4750</v>
      </c>
      <c r="N75" s="3">
        <f t="shared" si="21"/>
        <v>2553</v>
      </c>
      <c r="O75" s="3">
        <f t="shared" si="21"/>
        <v>3700</v>
      </c>
      <c r="P75" s="3">
        <f t="shared" si="21"/>
        <v>1855</v>
      </c>
      <c r="Q75" s="3">
        <f t="shared" si="21"/>
        <v>6253</v>
      </c>
      <c r="R75" s="3">
        <f t="shared" si="21"/>
        <v>5752</v>
      </c>
      <c r="S75" s="3">
        <f t="shared" si="21"/>
        <v>2438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B47B1-5C0E-4308-A901-4B59E16BF3F0}">
  <dimension ref="A1:S71"/>
  <sheetViews>
    <sheetView topLeftCell="A51" workbookViewId="0">
      <selection activeCell="C2" sqref="C2:C71"/>
    </sheetView>
  </sheetViews>
  <sheetFormatPr defaultRowHeight="14.5" x14ac:dyDescent="0.35"/>
  <cols>
    <col min="1" max="1" width="15.1796875" bestFit="1" customWidth="1"/>
    <col min="2" max="2" width="6.08984375" bestFit="1" customWidth="1"/>
    <col min="3" max="3" width="10.36328125" customWidth="1"/>
    <col min="5" max="5" width="6.08984375" bestFit="1" customWidth="1"/>
    <col min="6" max="6" width="7.81640625" bestFit="1" customWidth="1"/>
    <col min="7" max="7" width="10.7265625" bestFit="1" customWidth="1"/>
    <col min="8" max="8" width="7.81640625" bestFit="1" customWidth="1"/>
    <col min="9" max="9" width="10.81640625" bestFit="1" customWidth="1"/>
    <col min="10" max="10" width="7.81640625" bestFit="1" customWidth="1"/>
    <col min="11" max="11" width="8.54296875" bestFit="1" customWidth="1"/>
    <col min="12" max="12" width="7.81640625" bestFit="1" customWidth="1"/>
    <col min="13" max="13" width="11.1796875" bestFit="1" customWidth="1"/>
    <col min="14" max="15" width="7.81640625" bestFit="1" customWidth="1"/>
    <col min="16" max="16" width="11.90625" bestFit="1" customWidth="1"/>
    <col min="17" max="17" width="9.54296875" bestFit="1" customWidth="1"/>
    <col min="18" max="18" width="13.36328125" bestFit="1" customWidth="1"/>
    <col min="19" max="20" width="14.81640625" bestFit="1" customWidth="1"/>
  </cols>
  <sheetData>
    <row r="1" spans="1:19" x14ac:dyDescent="0.35">
      <c r="A1" s="2" t="s">
        <v>0</v>
      </c>
      <c r="B1" s="2" t="s">
        <v>1</v>
      </c>
      <c r="C1" s="2" t="s">
        <v>38</v>
      </c>
      <c r="E1" s="2" t="s">
        <v>1</v>
      </c>
      <c r="F1" s="3" t="s">
        <v>3</v>
      </c>
      <c r="G1" s="3" t="s">
        <v>4</v>
      </c>
      <c r="H1" s="3" t="s">
        <v>5</v>
      </c>
      <c r="I1" s="3" t="s">
        <v>16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13</v>
      </c>
      <c r="Q1" s="3" t="s">
        <v>12</v>
      </c>
      <c r="R1" s="3" t="s">
        <v>14</v>
      </c>
      <c r="S1" s="3" t="s">
        <v>15</v>
      </c>
    </row>
    <row r="2" spans="1:19" x14ac:dyDescent="0.35">
      <c r="A2" s="1" t="s">
        <v>3</v>
      </c>
      <c r="B2" s="3">
        <v>2018</v>
      </c>
      <c r="C2" s="6">
        <f>F2</f>
        <v>262.18</v>
      </c>
      <c r="E2" s="3">
        <v>2018</v>
      </c>
      <c r="F2" s="3">
        <f t="shared" ref="F2:S2" si="0">F12+F20+F28</f>
        <v>262.18</v>
      </c>
      <c r="G2" s="3">
        <f t="shared" si="0"/>
        <v>262.60000000000002</v>
      </c>
      <c r="H2" s="3">
        <f t="shared" si="0"/>
        <v>264.7</v>
      </c>
      <c r="I2" s="3">
        <f t="shared" si="0"/>
        <v>264.37</v>
      </c>
      <c r="J2" s="3">
        <f t="shared" si="0"/>
        <v>244.36</v>
      </c>
      <c r="K2" s="3">
        <f t="shared" si="0"/>
        <v>255.26999999999998</v>
      </c>
      <c r="L2" s="3">
        <f t="shared" si="0"/>
        <v>247.94</v>
      </c>
      <c r="M2" s="3">
        <f t="shared" si="0"/>
        <v>259.32</v>
      </c>
      <c r="N2" s="3">
        <f t="shared" si="0"/>
        <v>256.97999999999996</v>
      </c>
      <c r="O2" s="3">
        <f t="shared" si="0"/>
        <v>240.56</v>
      </c>
      <c r="P2" s="3">
        <f t="shared" si="0"/>
        <v>265.39</v>
      </c>
      <c r="Q2" s="3">
        <f t="shared" si="0"/>
        <v>263.64999999999998</v>
      </c>
      <c r="R2" s="3">
        <f t="shared" si="0"/>
        <v>273.86</v>
      </c>
      <c r="S2" s="3">
        <f t="shared" si="0"/>
        <v>261.77</v>
      </c>
    </row>
    <row r="3" spans="1:19" x14ac:dyDescent="0.35">
      <c r="A3" s="1" t="s">
        <v>3</v>
      </c>
      <c r="B3" s="3">
        <v>2019</v>
      </c>
      <c r="C3" s="6">
        <f>F3</f>
        <v>262.14999999999998</v>
      </c>
      <c r="E3" s="3">
        <v>2019</v>
      </c>
      <c r="F3" s="3">
        <f t="shared" ref="F3:S3" si="1">F13+F21+F29</f>
        <v>262.14999999999998</v>
      </c>
      <c r="G3" s="3">
        <f t="shared" si="1"/>
        <v>262.17</v>
      </c>
      <c r="H3" s="3">
        <f t="shared" si="1"/>
        <v>265.58</v>
      </c>
      <c r="I3" s="3">
        <f t="shared" si="1"/>
        <v>263.04999999999995</v>
      </c>
      <c r="J3" s="3">
        <f t="shared" si="1"/>
        <v>244.22000000000003</v>
      </c>
      <c r="K3" s="3">
        <f t="shared" si="1"/>
        <v>255.09</v>
      </c>
      <c r="L3" s="3">
        <f t="shared" si="1"/>
        <v>244.91</v>
      </c>
      <c r="M3" s="3">
        <f t="shared" si="1"/>
        <v>256.09000000000003</v>
      </c>
      <c r="N3" s="3">
        <f t="shared" si="1"/>
        <v>256.77</v>
      </c>
      <c r="O3" s="3">
        <f t="shared" si="1"/>
        <v>238.17999999999998</v>
      </c>
      <c r="P3" s="3">
        <f t="shared" si="1"/>
        <v>264.02999999999997</v>
      </c>
      <c r="Q3" s="3">
        <f t="shared" si="1"/>
        <v>265.09000000000003</v>
      </c>
      <c r="R3" s="3">
        <f t="shared" si="1"/>
        <v>274.8</v>
      </c>
      <c r="S3" s="3">
        <f t="shared" si="1"/>
        <v>262.77999999999997</v>
      </c>
    </row>
    <row r="4" spans="1:19" x14ac:dyDescent="0.35">
      <c r="A4" s="1" t="s">
        <v>3</v>
      </c>
      <c r="B4" s="3">
        <v>2020</v>
      </c>
      <c r="C4" s="6">
        <f>F4</f>
        <v>263.11</v>
      </c>
      <c r="E4" s="3">
        <v>2020</v>
      </c>
      <c r="F4" s="3">
        <f t="shared" ref="F4:S4" si="2">F14+F22+F30</f>
        <v>263.11</v>
      </c>
      <c r="G4" s="3">
        <f t="shared" si="2"/>
        <v>263.82</v>
      </c>
      <c r="H4" s="3">
        <f t="shared" si="2"/>
        <v>264.83</v>
      </c>
      <c r="I4" s="3">
        <f t="shared" si="2"/>
        <v>244.18</v>
      </c>
      <c r="J4" s="3">
        <f t="shared" si="2"/>
        <v>257.41999999999996</v>
      </c>
      <c r="K4" s="3">
        <f t="shared" si="2"/>
        <v>245.99</v>
      </c>
      <c r="L4" s="3">
        <f t="shared" si="2"/>
        <v>258.73</v>
      </c>
      <c r="M4" s="3">
        <f t="shared" si="2"/>
        <v>256.5</v>
      </c>
      <c r="N4" s="3">
        <f t="shared" si="2"/>
        <v>241.07</v>
      </c>
      <c r="O4" s="3">
        <f t="shared" si="2"/>
        <v>264.5</v>
      </c>
      <c r="P4" s="3">
        <f t="shared" si="2"/>
        <v>265.12</v>
      </c>
      <c r="Q4" s="3">
        <f t="shared" si="2"/>
        <v>273.7</v>
      </c>
      <c r="R4" s="3">
        <f t="shared" si="2"/>
        <v>264.33</v>
      </c>
      <c r="S4" s="3">
        <f t="shared" si="2"/>
        <v>259.85000000000002</v>
      </c>
    </row>
    <row r="5" spans="1:19" x14ac:dyDescent="0.35">
      <c r="A5" s="1" t="s">
        <v>3</v>
      </c>
      <c r="B5" s="3">
        <v>2021</v>
      </c>
      <c r="C5" s="6">
        <f>F5</f>
        <v>263.04000000000002</v>
      </c>
      <c r="E5" s="3">
        <v>2021</v>
      </c>
      <c r="F5" s="3">
        <f t="shared" ref="F5:S5" si="3">F15+F23+F31</f>
        <v>263.04000000000002</v>
      </c>
      <c r="G5" s="3">
        <f t="shared" si="3"/>
        <v>267.28000000000003</v>
      </c>
      <c r="H5" s="3">
        <f t="shared" si="3"/>
        <v>266.42</v>
      </c>
      <c r="I5" s="3">
        <f t="shared" si="3"/>
        <v>264.85000000000002</v>
      </c>
      <c r="J5" s="3">
        <f t="shared" si="3"/>
        <v>244.12</v>
      </c>
      <c r="K5" s="3">
        <f t="shared" si="3"/>
        <v>257.01</v>
      </c>
      <c r="L5" s="3">
        <f t="shared" si="3"/>
        <v>248.85000000000002</v>
      </c>
      <c r="M5" s="3">
        <f t="shared" si="3"/>
        <v>258.51</v>
      </c>
      <c r="N5" s="3">
        <f t="shared" si="3"/>
        <v>257.52</v>
      </c>
      <c r="O5" s="3">
        <f t="shared" si="3"/>
        <v>241.76</v>
      </c>
      <c r="P5" s="3">
        <f t="shared" si="3"/>
        <v>264.44</v>
      </c>
      <c r="Q5" s="3">
        <f t="shared" si="3"/>
        <v>267.55</v>
      </c>
      <c r="R5" s="3">
        <f t="shared" si="3"/>
        <v>274.94</v>
      </c>
      <c r="S5" s="3">
        <f t="shared" si="3"/>
        <v>267.81</v>
      </c>
    </row>
    <row r="6" spans="1:19" x14ac:dyDescent="0.35">
      <c r="A6" s="1" t="s">
        <v>3</v>
      </c>
      <c r="B6" s="3">
        <v>2022</v>
      </c>
      <c r="C6" s="6">
        <f>F6</f>
        <v>261.54000000000002</v>
      </c>
      <c r="E6" s="3">
        <v>2022</v>
      </c>
      <c r="F6" s="3">
        <f t="shared" ref="F6:S6" si="4">F16+F24+F32</f>
        <v>261.54000000000002</v>
      </c>
      <c r="G6" s="3">
        <f t="shared" si="4"/>
        <v>266.79000000000002</v>
      </c>
      <c r="H6" s="3">
        <f t="shared" si="4"/>
        <v>267.43</v>
      </c>
      <c r="I6" s="3">
        <f t="shared" si="4"/>
        <v>263.84000000000003</v>
      </c>
      <c r="J6" s="3">
        <f t="shared" si="4"/>
        <v>245.98999999999998</v>
      </c>
      <c r="K6" s="3">
        <f t="shared" si="4"/>
        <v>256.27999999999997</v>
      </c>
      <c r="L6" s="3">
        <f t="shared" si="4"/>
        <v>249.41000000000003</v>
      </c>
      <c r="M6" s="3">
        <f t="shared" si="4"/>
        <v>255.93</v>
      </c>
      <c r="N6" s="3">
        <f t="shared" si="4"/>
        <v>254.2</v>
      </c>
      <c r="O6" s="3">
        <f t="shared" si="4"/>
        <v>242.34</v>
      </c>
      <c r="P6" s="3">
        <f t="shared" si="4"/>
        <v>262.86</v>
      </c>
      <c r="Q6" s="3">
        <f t="shared" si="4"/>
        <v>264.39</v>
      </c>
      <c r="R6" s="3">
        <f t="shared" si="4"/>
        <v>272.77</v>
      </c>
      <c r="S6" s="3">
        <f t="shared" si="4"/>
        <v>268.31</v>
      </c>
    </row>
    <row r="7" spans="1:19" x14ac:dyDescent="0.35">
      <c r="A7" s="1" t="s">
        <v>4</v>
      </c>
      <c r="B7" s="3">
        <v>2018</v>
      </c>
      <c r="C7" s="6">
        <f>G2</f>
        <v>262.60000000000002</v>
      </c>
      <c r="E7" s="3" t="s">
        <v>31</v>
      </c>
      <c r="F7" s="3">
        <f t="shared" ref="F7:S7" si="5">SUM(F2:F6)</f>
        <v>1312.02</v>
      </c>
      <c r="G7" s="3">
        <f t="shared" si="5"/>
        <v>1322.6599999999999</v>
      </c>
      <c r="H7" s="3">
        <f t="shared" si="5"/>
        <v>1328.96</v>
      </c>
      <c r="I7" s="3">
        <f t="shared" si="5"/>
        <v>1300.29</v>
      </c>
      <c r="J7" s="3">
        <f t="shared" si="5"/>
        <v>1236.1099999999999</v>
      </c>
      <c r="K7" s="3">
        <f t="shared" si="5"/>
        <v>1269.6399999999999</v>
      </c>
      <c r="L7" s="3">
        <f t="shared" si="5"/>
        <v>1249.8400000000001</v>
      </c>
      <c r="M7" s="3">
        <f t="shared" si="5"/>
        <v>1286.3500000000001</v>
      </c>
      <c r="N7" s="3">
        <f t="shared" si="5"/>
        <v>1266.54</v>
      </c>
      <c r="O7" s="3">
        <f t="shared" si="5"/>
        <v>1227.3399999999999</v>
      </c>
      <c r="P7" s="3">
        <f t="shared" si="5"/>
        <v>1321.8400000000001</v>
      </c>
      <c r="Q7" s="3">
        <f t="shared" si="5"/>
        <v>1334.38</v>
      </c>
      <c r="R7" s="3">
        <f t="shared" si="5"/>
        <v>1360.7</v>
      </c>
      <c r="S7" s="3">
        <f t="shared" si="5"/>
        <v>1320.52</v>
      </c>
    </row>
    <row r="8" spans="1:19" x14ac:dyDescent="0.35">
      <c r="A8" s="1" t="s">
        <v>4</v>
      </c>
      <c r="B8" s="3">
        <v>2019</v>
      </c>
      <c r="C8" s="6">
        <f>G3</f>
        <v>262.17</v>
      </c>
    </row>
    <row r="9" spans="1:19" x14ac:dyDescent="0.35">
      <c r="A9" s="1" t="s">
        <v>4</v>
      </c>
      <c r="B9" s="3">
        <v>2020</v>
      </c>
      <c r="C9" s="6">
        <f>G4</f>
        <v>263.82</v>
      </c>
      <c r="E9" s="4" t="s">
        <v>39</v>
      </c>
    </row>
    <row r="10" spans="1:19" x14ac:dyDescent="0.35">
      <c r="A10" s="1" t="s">
        <v>4</v>
      </c>
      <c r="B10" s="3">
        <v>2021</v>
      </c>
      <c r="C10" s="6">
        <f>G5</f>
        <v>267.28000000000003</v>
      </c>
      <c r="E10" s="4" t="s">
        <v>28</v>
      </c>
    </row>
    <row r="11" spans="1:19" x14ac:dyDescent="0.35">
      <c r="A11" s="1" t="s">
        <v>4</v>
      </c>
      <c r="B11" s="3">
        <v>2022</v>
      </c>
      <c r="C11" s="6">
        <f>G6</f>
        <v>266.79000000000002</v>
      </c>
      <c r="E11" s="3" t="s">
        <v>1</v>
      </c>
      <c r="F11" s="3" t="s">
        <v>3</v>
      </c>
      <c r="G11" s="3" t="s">
        <v>4</v>
      </c>
      <c r="H11" s="3" t="s">
        <v>5</v>
      </c>
      <c r="I11" s="3" t="s">
        <v>16</v>
      </c>
      <c r="J11" s="3" t="s">
        <v>6</v>
      </c>
      <c r="K11" s="3" t="s">
        <v>7</v>
      </c>
      <c r="L11" s="3" t="s">
        <v>8</v>
      </c>
      <c r="M11" s="3" t="s">
        <v>9</v>
      </c>
      <c r="N11" s="3" t="s">
        <v>10</v>
      </c>
      <c r="O11" s="3" t="s">
        <v>11</v>
      </c>
      <c r="P11" s="3" t="s">
        <v>13</v>
      </c>
      <c r="Q11" s="3" t="s">
        <v>12</v>
      </c>
      <c r="R11" s="3" t="s">
        <v>14</v>
      </c>
      <c r="S11" s="3" t="s">
        <v>15</v>
      </c>
    </row>
    <row r="12" spans="1:19" x14ac:dyDescent="0.35">
      <c r="A12" s="1" t="s">
        <v>5</v>
      </c>
      <c r="B12" s="3">
        <v>2018</v>
      </c>
      <c r="C12" s="6">
        <f>H2</f>
        <v>264.7</v>
      </c>
      <c r="E12" s="3">
        <v>2018</v>
      </c>
      <c r="F12" s="3">
        <v>98.75</v>
      </c>
      <c r="G12" s="3">
        <v>97.7</v>
      </c>
      <c r="H12" s="3">
        <v>97.69</v>
      </c>
      <c r="I12" s="3">
        <v>99.63</v>
      </c>
      <c r="J12" s="3">
        <v>97.59</v>
      </c>
      <c r="K12" s="3">
        <v>97.65</v>
      </c>
      <c r="L12" s="3">
        <v>98.89</v>
      </c>
      <c r="M12" s="3">
        <v>100</v>
      </c>
      <c r="N12" s="3">
        <v>98.46</v>
      </c>
      <c r="O12" s="3">
        <v>96.43</v>
      </c>
      <c r="P12" s="3">
        <v>98.78</v>
      </c>
      <c r="Q12" s="3">
        <v>99.05</v>
      </c>
      <c r="R12" s="3">
        <v>98.45</v>
      </c>
      <c r="S12" s="3">
        <v>98.82</v>
      </c>
    </row>
    <row r="13" spans="1:19" x14ac:dyDescent="0.35">
      <c r="A13" s="1" t="s">
        <v>5</v>
      </c>
      <c r="B13" s="3">
        <v>2019</v>
      </c>
      <c r="C13" s="6">
        <f>H3</f>
        <v>265.58</v>
      </c>
      <c r="E13" s="3">
        <v>2019</v>
      </c>
      <c r="F13" s="3">
        <v>98.75</v>
      </c>
      <c r="G13" s="3">
        <v>97.79</v>
      </c>
      <c r="H13" s="3">
        <v>98.65</v>
      </c>
      <c r="I13" s="3">
        <v>99.45</v>
      </c>
      <c r="J13" s="3">
        <v>97.59</v>
      </c>
      <c r="K13" s="3">
        <v>97.67</v>
      </c>
      <c r="L13" s="3">
        <v>98.5</v>
      </c>
      <c r="M13" s="3">
        <v>99.51</v>
      </c>
      <c r="N13" s="3">
        <v>98.8</v>
      </c>
      <c r="O13" s="3">
        <v>96.61</v>
      </c>
      <c r="P13" s="3">
        <v>98.21</v>
      </c>
      <c r="Q13" s="3">
        <v>99.34</v>
      </c>
      <c r="R13" s="3">
        <v>98.86</v>
      </c>
      <c r="S13" s="3">
        <v>98.71</v>
      </c>
    </row>
    <row r="14" spans="1:19" x14ac:dyDescent="0.35">
      <c r="A14" s="1" t="s">
        <v>5</v>
      </c>
      <c r="B14" s="3">
        <v>2020</v>
      </c>
      <c r="C14" s="6">
        <f>H4</f>
        <v>264.83</v>
      </c>
      <c r="E14" s="3">
        <v>2020</v>
      </c>
      <c r="F14" s="3">
        <v>98.25</v>
      </c>
      <c r="G14" s="3">
        <v>98.63</v>
      </c>
      <c r="H14" s="3">
        <v>99.06</v>
      </c>
      <c r="I14" s="3">
        <v>97.33</v>
      </c>
      <c r="J14" s="3">
        <v>98.6</v>
      </c>
      <c r="K14" s="3">
        <v>98.42</v>
      </c>
      <c r="L14" s="3">
        <v>99.53</v>
      </c>
      <c r="M14" s="3">
        <v>98.89</v>
      </c>
      <c r="N14" s="3">
        <v>96.98</v>
      </c>
      <c r="O14" s="3">
        <v>98.15</v>
      </c>
      <c r="P14" s="3">
        <v>99.3</v>
      </c>
      <c r="Q14" s="3">
        <v>98.77</v>
      </c>
      <c r="R14" s="3">
        <v>98.69</v>
      </c>
      <c r="S14" s="3">
        <v>98.58</v>
      </c>
    </row>
    <row r="15" spans="1:19" x14ac:dyDescent="0.35">
      <c r="A15" s="1" t="s">
        <v>5</v>
      </c>
      <c r="B15" s="3">
        <v>2021</v>
      </c>
      <c r="C15" s="6">
        <f>H5</f>
        <v>266.42</v>
      </c>
      <c r="E15" s="3">
        <v>2021</v>
      </c>
      <c r="F15" s="3">
        <v>98.68</v>
      </c>
      <c r="G15" s="3">
        <v>98.36</v>
      </c>
      <c r="H15" s="3">
        <v>98.79</v>
      </c>
      <c r="I15" s="3">
        <v>99.22</v>
      </c>
      <c r="J15" s="3">
        <v>97.67</v>
      </c>
      <c r="K15" s="3">
        <v>98.53</v>
      </c>
      <c r="L15" s="3">
        <v>98.68</v>
      </c>
      <c r="M15" s="3">
        <v>99.44</v>
      </c>
      <c r="N15" s="3">
        <v>98.76</v>
      </c>
      <c r="O15" s="3">
        <v>96.72</v>
      </c>
      <c r="P15" s="3">
        <v>97.81</v>
      </c>
      <c r="Q15" s="3">
        <v>99.15</v>
      </c>
      <c r="R15" s="3">
        <v>99.21</v>
      </c>
      <c r="S15" s="3">
        <v>98.7</v>
      </c>
    </row>
    <row r="16" spans="1:19" x14ac:dyDescent="0.35">
      <c r="A16" s="1" t="s">
        <v>5</v>
      </c>
      <c r="B16" s="3">
        <v>2022</v>
      </c>
      <c r="C16" s="6">
        <f>H6</f>
        <v>267.43</v>
      </c>
      <c r="E16" s="3">
        <v>2022</v>
      </c>
      <c r="F16" s="3">
        <v>99.2</v>
      </c>
      <c r="G16" s="3">
        <v>97.24</v>
      </c>
      <c r="H16" s="3">
        <v>99.8</v>
      </c>
      <c r="I16" s="3">
        <v>99.34</v>
      </c>
      <c r="J16" s="3">
        <v>98.13</v>
      </c>
      <c r="K16" s="3">
        <v>98.9</v>
      </c>
      <c r="L16" s="3">
        <v>99.18</v>
      </c>
      <c r="M16" s="3">
        <v>98.35</v>
      </c>
      <c r="N16" s="3">
        <v>98.24</v>
      </c>
      <c r="O16" s="3">
        <v>99.33</v>
      </c>
      <c r="P16" s="3">
        <v>98.37</v>
      </c>
      <c r="Q16" s="3">
        <v>98.88</v>
      </c>
      <c r="R16" s="3">
        <v>98.08</v>
      </c>
      <c r="S16" s="3">
        <v>98.68</v>
      </c>
    </row>
    <row r="17" spans="1:19" x14ac:dyDescent="0.35">
      <c r="A17" s="1" t="s">
        <v>16</v>
      </c>
      <c r="B17" s="3">
        <v>2018</v>
      </c>
      <c r="C17" s="6">
        <f>I2</f>
        <v>264.37</v>
      </c>
      <c r="E17" s="3" t="s">
        <v>31</v>
      </c>
      <c r="F17" s="3">
        <f t="shared" ref="F17:S17" si="6">SUM(F12:F16)</f>
        <v>493.63</v>
      </c>
      <c r="G17" s="3">
        <f t="shared" si="6"/>
        <v>489.72</v>
      </c>
      <c r="H17" s="3">
        <f t="shared" si="6"/>
        <v>493.99</v>
      </c>
      <c r="I17" s="3">
        <f t="shared" si="6"/>
        <v>494.97</v>
      </c>
      <c r="J17" s="3">
        <f t="shared" si="6"/>
        <v>489.58</v>
      </c>
      <c r="K17" s="3">
        <f t="shared" si="6"/>
        <v>491.16999999999996</v>
      </c>
      <c r="L17" s="3">
        <f t="shared" si="6"/>
        <v>494.78</v>
      </c>
      <c r="M17" s="3">
        <f t="shared" si="6"/>
        <v>496.18999999999994</v>
      </c>
      <c r="N17" s="3">
        <f t="shared" si="6"/>
        <v>491.24</v>
      </c>
      <c r="O17" s="3">
        <f t="shared" si="6"/>
        <v>487.24000000000007</v>
      </c>
      <c r="P17" s="3">
        <f t="shared" si="6"/>
        <v>492.47</v>
      </c>
      <c r="Q17" s="3">
        <f t="shared" si="6"/>
        <v>495.18999999999994</v>
      </c>
      <c r="R17" s="3">
        <f t="shared" si="6"/>
        <v>493.28999999999996</v>
      </c>
      <c r="S17" s="3">
        <f t="shared" si="6"/>
        <v>493.48999999999995</v>
      </c>
    </row>
    <row r="18" spans="1:19" x14ac:dyDescent="0.35">
      <c r="A18" s="1" t="s">
        <v>16</v>
      </c>
      <c r="B18" s="3">
        <v>2019</v>
      </c>
      <c r="C18" s="6">
        <f>I3</f>
        <v>263.04999999999995</v>
      </c>
      <c r="E18" s="4" t="s">
        <v>29</v>
      </c>
    </row>
    <row r="19" spans="1:19" x14ac:dyDescent="0.35">
      <c r="A19" s="1" t="s">
        <v>16</v>
      </c>
      <c r="B19" s="3">
        <v>2020</v>
      </c>
      <c r="C19" s="6">
        <f>I4</f>
        <v>244.18</v>
      </c>
      <c r="E19" s="3" t="s">
        <v>1</v>
      </c>
      <c r="F19" s="3" t="s">
        <v>3</v>
      </c>
      <c r="G19" s="3" t="s">
        <v>4</v>
      </c>
      <c r="H19" s="3" t="s">
        <v>5</v>
      </c>
      <c r="I19" s="3" t="s">
        <v>16</v>
      </c>
      <c r="J19" s="3" t="s">
        <v>6</v>
      </c>
      <c r="K19" s="3" t="s">
        <v>7</v>
      </c>
      <c r="L19" s="3" t="s">
        <v>8</v>
      </c>
      <c r="M19" s="3" t="s">
        <v>9</v>
      </c>
      <c r="N19" s="3" t="s">
        <v>10</v>
      </c>
      <c r="O19" s="3" t="s">
        <v>11</v>
      </c>
      <c r="P19" s="3" t="s">
        <v>13</v>
      </c>
      <c r="Q19" s="3" t="s">
        <v>12</v>
      </c>
      <c r="R19" s="3" t="s">
        <v>14</v>
      </c>
      <c r="S19" s="3" t="s">
        <v>15</v>
      </c>
    </row>
    <row r="20" spans="1:19" x14ac:dyDescent="0.35">
      <c r="A20" s="1" t="s">
        <v>16</v>
      </c>
      <c r="B20" s="3">
        <v>2021</v>
      </c>
      <c r="C20" s="6">
        <f>I5</f>
        <v>264.85000000000002</v>
      </c>
      <c r="E20" s="3">
        <v>2018</v>
      </c>
      <c r="F20" s="3">
        <v>94.97</v>
      </c>
      <c r="G20" s="3">
        <v>90.6</v>
      </c>
      <c r="H20" s="3">
        <v>93.2</v>
      </c>
      <c r="I20" s="3">
        <v>91.69</v>
      </c>
      <c r="J20" s="3">
        <v>90.46</v>
      </c>
      <c r="K20" s="3">
        <v>93.36</v>
      </c>
      <c r="L20" s="3">
        <v>89.86</v>
      </c>
      <c r="M20" s="3">
        <v>87.34</v>
      </c>
      <c r="N20" s="3">
        <v>90.06</v>
      </c>
      <c r="O20" s="3">
        <v>86.81</v>
      </c>
      <c r="P20" s="3">
        <v>94.12</v>
      </c>
      <c r="Q20" s="3">
        <v>97.01</v>
      </c>
      <c r="R20" s="3">
        <v>96.34</v>
      </c>
      <c r="S20" s="3">
        <v>92.37</v>
      </c>
    </row>
    <row r="21" spans="1:19" x14ac:dyDescent="0.35">
      <c r="A21" s="1" t="s">
        <v>16</v>
      </c>
      <c r="B21" s="3">
        <v>2022</v>
      </c>
      <c r="C21" s="6">
        <f>I6</f>
        <v>263.84000000000003</v>
      </c>
      <c r="E21" s="3">
        <v>2019</v>
      </c>
      <c r="F21" s="3">
        <v>95.22</v>
      </c>
      <c r="G21" s="3">
        <v>91.37</v>
      </c>
      <c r="H21" s="3">
        <v>92.82</v>
      </c>
      <c r="I21" s="3">
        <v>91.07</v>
      </c>
      <c r="J21" s="3">
        <v>90.83</v>
      </c>
      <c r="K21" s="3">
        <v>93.57</v>
      </c>
      <c r="L21" s="3">
        <v>89.84</v>
      </c>
      <c r="M21" s="3">
        <v>86.8</v>
      </c>
      <c r="N21" s="3">
        <v>89.88</v>
      </c>
      <c r="O21" s="3">
        <v>86.16</v>
      </c>
      <c r="P21" s="3">
        <v>93.42</v>
      </c>
      <c r="Q21" s="3">
        <v>96.77</v>
      </c>
      <c r="R21" s="3">
        <v>96.45</v>
      </c>
      <c r="S21" s="3">
        <v>93.5</v>
      </c>
    </row>
    <row r="22" spans="1:19" x14ac:dyDescent="0.35">
      <c r="A22" s="1" t="s">
        <v>6</v>
      </c>
      <c r="B22" s="3">
        <v>2018</v>
      </c>
      <c r="C22" s="6">
        <f>J2</f>
        <v>244.36</v>
      </c>
      <c r="E22" s="3">
        <v>2020</v>
      </c>
      <c r="F22" s="3">
        <v>91.52</v>
      </c>
      <c r="G22" s="3">
        <v>93.17</v>
      </c>
      <c r="H22" s="3">
        <v>91.76</v>
      </c>
      <c r="I22" s="3">
        <v>90.66</v>
      </c>
      <c r="J22" s="3">
        <v>94.29</v>
      </c>
      <c r="K22" s="3">
        <v>89.23</v>
      </c>
      <c r="L22" s="3">
        <v>87.31</v>
      </c>
      <c r="M22" s="3">
        <v>90.02</v>
      </c>
      <c r="N22" s="3">
        <v>86.64</v>
      </c>
      <c r="O22" s="3">
        <v>93.72</v>
      </c>
      <c r="P22" s="3">
        <v>97.08</v>
      </c>
      <c r="Q22" s="3">
        <v>96.57</v>
      </c>
      <c r="R22" s="3">
        <v>93.21</v>
      </c>
      <c r="S22" s="3">
        <v>92.9</v>
      </c>
    </row>
    <row r="23" spans="1:19" x14ac:dyDescent="0.35">
      <c r="A23" s="1" t="s">
        <v>6</v>
      </c>
      <c r="B23" s="3">
        <v>2019</v>
      </c>
      <c r="C23" s="6">
        <f>J3</f>
        <v>244.22000000000003</v>
      </c>
      <c r="E23" s="3">
        <v>2021</v>
      </c>
      <c r="F23" s="3">
        <v>95.35</v>
      </c>
      <c r="G23" s="3">
        <v>94.63</v>
      </c>
      <c r="H23" s="3">
        <v>93.2</v>
      </c>
      <c r="I23" s="3">
        <v>91.98</v>
      </c>
      <c r="J23" s="3">
        <v>90.25</v>
      </c>
      <c r="K23" s="3">
        <v>93.87</v>
      </c>
      <c r="L23" s="3">
        <v>89.62</v>
      </c>
      <c r="M23" s="3">
        <v>87.54</v>
      </c>
      <c r="N23" s="3">
        <v>89.99</v>
      </c>
      <c r="O23" s="3">
        <v>87.05</v>
      </c>
      <c r="P23" s="3">
        <v>93.82</v>
      </c>
      <c r="Q23" s="3">
        <v>97.35</v>
      </c>
      <c r="R23" s="3">
        <v>96.3</v>
      </c>
      <c r="S23" s="3">
        <v>93.23</v>
      </c>
    </row>
    <row r="24" spans="1:19" x14ac:dyDescent="0.35">
      <c r="A24" s="1" t="s">
        <v>6</v>
      </c>
      <c r="B24" s="3">
        <v>2020</v>
      </c>
      <c r="C24" s="6">
        <f>J4</f>
        <v>257.41999999999996</v>
      </c>
      <c r="E24" s="3">
        <v>2022</v>
      </c>
      <c r="F24" s="3">
        <v>94.66</v>
      </c>
      <c r="G24" s="3">
        <v>95.01</v>
      </c>
      <c r="H24" s="3">
        <v>93.25</v>
      </c>
      <c r="I24" s="3">
        <v>91.43</v>
      </c>
      <c r="J24" s="3">
        <v>91.2</v>
      </c>
      <c r="K24" s="3">
        <v>93.13</v>
      </c>
      <c r="L24" s="3">
        <v>89.78</v>
      </c>
      <c r="M24" s="3">
        <v>86.35</v>
      </c>
      <c r="N24" s="3">
        <v>88.3</v>
      </c>
      <c r="O24" s="3">
        <v>86.61</v>
      </c>
      <c r="P24" s="3">
        <v>91.62</v>
      </c>
      <c r="Q24" s="3">
        <v>95.31</v>
      </c>
      <c r="R24" s="3">
        <v>95.31</v>
      </c>
      <c r="S24" s="3">
        <v>93.1</v>
      </c>
    </row>
    <row r="25" spans="1:19" x14ac:dyDescent="0.35">
      <c r="A25" s="1" t="s">
        <v>6</v>
      </c>
      <c r="B25" s="3">
        <v>2021</v>
      </c>
      <c r="C25" s="6">
        <f>J5</f>
        <v>244.12</v>
      </c>
      <c r="E25" s="3" t="s">
        <v>31</v>
      </c>
      <c r="F25" s="3">
        <f t="shared" ref="F25:S25" si="7">SUM(F20:F24)</f>
        <v>471.71999999999991</v>
      </c>
      <c r="G25" s="3">
        <f t="shared" si="7"/>
        <v>464.78</v>
      </c>
      <c r="H25" s="3">
        <f t="shared" si="7"/>
        <v>464.22999999999996</v>
      </c>
      <c r="I25" s="3">
        <f t="shared" si="7"/>
        <v>456.83</v>
      </c>
      <c r="J25" s="3">
        <f t="shared" si="7"/>
        <v>457.03</v>
      </c>
      <c r="K25" s="3">
        <f t="shared" si="7"/>
        <v>463.16</v>
      </c>
      <c r="L25" s="3">
        <f t="shared" si="7"/>
        <v>446.40999999999997</v>
      </c>
      <c r="M25" s="3">
        <f t="shared" si="7"/>
        <v>438.04999999999995</v>
      </c>
      <c r="N25" s="3">
        <f t="shared" si="7"/>
        <v>444.87</v>
      </c>
      <c r="O25" s="3">
        <f t="shared" si="7"/>
        <v>440.35</v>
      </c>
      <c r="P25" s="3">
        <f t="shared" si="7"/>
        <v>470.06</v>
      </c>
      <c r="Q25" s="3">
        <f t="shared" si="7"/>
        <v>483.01000000000005</v>
      </c>
      <c r="R25" s="3">
        <f t="shared" si="7"/>
        <v>477.61</v>
      </c>
      <c r="S25" s="3">
        <f t="shared" si="7"/>
        <v>465.1</v>
      </c>
    </row>
    <row r="26" spans="1:19" x14ac:dyDescent="0.35">
      <c r="A26" s="1" t="s">
        <v>6</v>
      </c>
      <c r="B26" s="3">
        <v>2022</v>
      </c>
      <c r="C26" s="6">
        <f>J6</f>
        <v>245.98999999999998</v>
      </c>
      <c r="E26" s="4" t="s">
        <v>30</v>
      </c>
    </row>
    <row r="27" spans="1:19" x14ac:dyDescent="0.35">
      <c r="A27" s="1" t="s">
        <v>7</v>
      </c>
      <c r="B27" s="3">
        <v>2018</v>
      </c>
      <c r="C27" s="6">
        <f>K2</f>
        <v>255.26999999999998</v>
      </c>
      <c r="E27" s="3" t="s">
        <v>1</v>
      </c>
      <c r="F27" s="3" t="s">
        <v>3</v>
      </c>
      <c r="G27" s="3" t="s">
        <v>4</v>
      </c>
      <c r="H27" s="3" t="s">
        <v>5</v>
      </c>
      <c r="I27" s="3" t="s">
        <v>16</v>
      </c>
      <c r="J27" s="3" t="s">
        <v>6</v>
      </c>
      <c r="K27" s="3" t="s">
        <v>7</v>
      </c>
      <c r="L27" s="3" t="s">
        <v>8</v>
      </c>
      <c r="M27" s="3" t="s">
        <v>9</v>
      </c>
      <c r="N27" s="3" t="s">
        <v>10</v>
      </c>
      <c r="O27" s="3" t="s">
        <v>11</v>
      </c>
      <c r="P27" s="3" t="s">
        <v>13</v>
      </c>
      <c r="Q27" s="3" t="s">
        <v>12</v>
      </c>
      <c r="R27" s="3" t="s">
        <v>14</v>
      </c>
      <c r="S27" s="3" t="s">
        <v>15</v>
      </c>
    </row>
    <row r="28" spans="1:19" x14ac:dyDescent="0.35">
      <c r="A28" s="1" t="s">
        <v>7</v>
      </c>
      <c r="B28" s="3">
        <v>2019</v>
      </c>
      <c r="C28" s="6">
        <f>K3</f>
        <v>255.09</v>
      </c>
      <c r="E28" s="3">
        <v>2018</v>
      </c>
      <c r="F28" s="3">
        <v>68.459999999999994</v>
      </c>
      <c r="G28" s="3">
        <v>74.3</v>
      </c>
      <c r="H28" s="3">
        <v>73.81</v>
      </c>
      <c r="I28" s="3">
        <v>73.05</v>
      </c>
      <c r="J28" s="3">
        <v>56.31</v>
      </c>
      <c r="K28" s="3">
        <v>64.260000000000005</v>
      </c>
      <c r="L28" s="3">
        <v>59.19</v>
      </c>
      <c r="M28" s="3">
        <v>71.98</v>
      </c>
      <c r="N28" s="3">
        <v>68.459999999999994</v>
      </c>
      <c r="O28" s="3">
        <v>57.32</v>
      </c>
      <c r="P28" s="3">
        <v>72.489999999999995</v>
      </c>
      <c r="Q28" s="3">
        <v>67.59</v>
      </c>
      <c r="R28" s="3">
        <v>79.069999999999993</v>
      </c>
      <c r="S28" s="3">
        <v>70.58</v>
      </c>
    </row>
    <row r="29" spans="1:19" x14ac:dyDescent="0.35">
      <c r="A29" s="1" t="s">
        <v>7</v>
      </c>
      <c r="B29" s="3">
        <v>2020</v>
      </c>
      <c r="C29" s="6">
        <f>K4</f>
        <v>245.99</v>
      </c>
      <c r="E29" s="3">
        <v>2019</v>
      </c>
      <c r="F29" s="3">
        <v>68.180000000000007</v>
      </c>
      <c r="G29" s="3">
        <v>73.010000000000005</v>
      </c>
      <c r="H29" s="3">
        <v>74.11</v>
      </c>
      <c r="I29" s="3">
        <v>72.53</v>
      </c>
      <c r="J29" s="3">
        <v>55.8</v>
      </c>
      <c r="K29" s="3">
        <v>63.85</v>
      </c>
      <c r="L29" s="3">
        <v>56.57</v>
      </c>
      <c r="M29" s="3">
        <v>69.78</v>
      </c>
      <c r="N29" s="3">
        <v>68.09</v>
      </c>
      <c r="O29" s="3">
        <v>55.41</v>
      </c>
      <c r="P29" s="3">
        <v>72.400000000000006</v>
      </c>
      <c r="Q29" s="3">
        <v>68.98</v>
      </c>
      <c r="R29" s="3">
        <v>79.489999999999995</v>
      </c>
      <c r="S29" s="3">
        <v>70.569999999999993</v>
      </c>
    </row>
    <row r="30" spans="1:19" x14ac:dyDescent="0.35">
      <c r="A30" s="1" t="s">
        <v>7</v>
      </c>
      <c r="B30" s="3">
        <v>2021</v>
      </c>
      <c r="C30" s="6">
        <f>K5</f>
        <v>257.01</v>
      </c>
      <c r="E30" s="3">
        <v>2020</v>
      </c>
      <c r="F30" s="3">
        <v>73.34</v>
      </c>
      <c r="G30" s="3">
        <v>72.02</v>
      </c>
      <c r="H30" s="3">
        <v>74.010000000000005</v>
      </c>
      <c r="I30" s="3">
        <v>56.19</v>
      </c>
      <c r="J30" s="3">
        <v>64.53</v>
      </c>
      <c r="K30" s="3">
        <v>58.34</v>
      </c>
      <c r="L30" s="3">
        <v>71.89</v>
      </c>
      <c r="M30" s="3">
        <v>67.59</v>
      </c>
      <c r="N30" s="3">
        <v>57.45</v>
      </c>
      <c r="O30" s="3">
        <v>72.63</v>
      </c>
      <c r="P30" s="3">
        <v>68.739999999999995</v>
      </c>
      <c r="Q30" s="3">
        <v>78.36</v>
      </c>
      <c r="R30" s="3">
        <v>72.430000000000007</v>
      </c>
      <c r="S30" s="3">
        <v>68.37</v>
      </c>
    </row>
    <row r="31" spans="1:19" x14ac:dyDescent="0.35">
      <c r="A31" s="1" t="s">
        <v>7</v>
      </c>
      <c r="B31" s="3">
        <v>2022</v>
      </c>
      <c r="C31" s="6">
        <f>K6</f>
        <v>256.27999999999997</v>
      </c>
      <c r="E31" s="3">
        <v>2021</v>
      </c>
      <c r="F31" s="3">
        <v>69.010000000000005</v>
      </c>
      <c r="G31" s="3">
        <v>74.290000000000006</v>
      </c>
      <c r="H31" s="3">
        <v>74.430000000000007</v>
      </c>
      <c r="I31" s="3">
        <v>73.650000000000006</v>
      </c>
      <c r="J31" s="3">
        <v>56.2</v>
      </c>
      <c r="K31" s="3">
        <v>64.61</v>
      </c>
      <c r="L31" s="3">
        <v>60.55</v>
      </c>
      <c r="M31" s="3">
        <v>71.53</v>
      </c>
      <c r="N31" s="3">
        <v>68.77</v>
      </c>
      <c r="O31" s="3">
        <v>57.99</v>
      </c>
      <c r="P31" s="3">
        <v>72.81</v>
      </c>
      <c r="Q31" s="3">
        <v>71.05</v>
      </c>
      <c r="R31" s="3">
        <v>79.430000000000007</v>
      </c>
      <c r="S31" s="3">
        <v>75.88</v>
      </c>
    </row>
    <row r="32" spans="1:19" x14ac:dyDescent="0.35">
      <c r="A32" s="1" t="s">
        <v>8</v>
      </c>
      <c r="B32" s="3">
        <v>2018</v>
      </c>
      <c r="C32" s="6">
        <f>L2</f>
        <v>247.94</v>
      </c>
      <c r="E32" s="3">
        <v>2022</v>
      </c>
      <c r="F32" s="3">
        <v>67.680000000000007</v>
      </c>
      <c r="G32" s="3">
        <v>74.540000000000006</v>
      </c>
      <c r="H32" s="3">
        <v>74.38</v>
      </c>
      <c r="I32" s="3">
        <v>73.069999999999993</v>
      </c>
      <c r="J32" s="3">
        <v>56.66</v>
      </c>
      <c r="K32" s="3">
        <v>64.25</v>
      </c>
      <c r="L32" s="3">
        <v>60.45</v>
      </c>
      <c r="M32" s="3">
        <v>71.23</v>
      </c>
      <c r="N32" s="3">
        <v>67.66</v>
      </c>
      <c r="O32" s="3">
        <v>56.4</v>
      </c>
      <c r="P32" s="3">
        <v>72.87</v>
      </c>
      <c r="Q32" s="3">
        <v>70.2</v>
      </c>
      <c r="R32" s="3">
        <v>79.38</v>
      </c>
      <c r="S32" s="3">
        <v>76.53</v>
      </c>
    </row>
    <row r="33" spans="1:19" x14ac:dyDescent="0.35">
      <c r="A33" s="1" t="s">
        <v>8</v>
      </c>
      <c r="B33" s="3">
        <v>2019</v>
      </c>
      <c r="C33" s="6">
        <f t="shared" ref="C33:C36" si="8">L3</f>
        <v>244.91</v>
      </c>
      <c r="E33" s="3" t="s">
        <v>31</v>
      </c>
      <c r="F33" s="3">
        <f t="shared" ref="F33:S33" si="9">SUM(F28:F32)</f>
        <v>346.67</v>
      </c>
      <c r="G33" s="3">
        <f t="shared" si="9"/>
        <v>368.16</v>
      </c>
      <c r="H33" s="3">
        <f t="shared" si="9"/>
        <v>370.74</v>
      </c>
      <c r="I33" s="3">
        <f t="shared" si="9"/>
        <v>348.48999999999995</v>
      </c>
      <c r="J33" s="3">
        <f t="shared" si="9"/>
        <v>289.5</v>
      </c>
      <c r="K33" s="3">
        <f t="shared" si="9"/>
        <v>315.31</v>
      </c>
      <c r="L33" s="3">
        <f t="shared" si="9"/>
        <v>308.64999999999998</v>
      </c>
      <c r="M33" s="3">
        <f t="shared" si="9"/>
        <v>352.11</v>
      </c>
      <c r="N33" s="3">
        <f t="shared" si="9"/>
        <v>330.42999999999995</v>
      </c>
      <c r="O33" s="3">
        <f t="shared" si="9"/>
        <v>299.75</v>
      </c>
      <c r="P33" s="3">
        <f t="shared" si="9"/>
        <v>359.31</v>
      </c>
      <c r="Q33" s="3">
        <f t="shared" si="9"/>
        <v>356.18</v>
      </c>
      <c r="R33" s="3">
        <f t="shared" si="9"/>
        <v>389.8</v>
      </c>
      <c r="S33" s="3">
        <f t="shared" si="9"/>
        <v>361.92999999999995</v>
      </c>
    </row>
    <row r="34" spans="1:19" x14ac:dyDescent="0.35">
      <c r="A34" s="1" t="s">
        <v>8</v>
      </c>
      <c r="B34" s="3">
        <v>2020</v>
      </c>
      <c r="C34" s="6">
        <f t="shared" si="8"/>
        <v>258.73</v>
      </c>
    </row>
    <row r="35" spans="1:19" x14ac:dyDescent="0.35">
      <c r="A35" s="1" t="s">
        <v>8</v>
      </c>
      <c r="B35" s="3">
        <v>2021</v>
      </c>
      <c r="C35" s="6">
        <f t="shared" si="8"/>
        <v>248.85000000000002</v>
      </c>
      <c r="E35" s="3" t="s">
        <v>31</v>
      </c>
      <c r="F35" s="3">
        <f t="shared" ref="F35:S35" si="10">F17+F25+F33</f>
        <v>1312.02</v>
      </c>
      <c r="G35" s="3">
        <f t="shared" si="10"/>
        <v>1322.66</v>
      </c>
      <c r="H35" s="3">
        <f t="shared" si="10"/>
        <v>1328.96</v>
      </c>
      <c r="I35" s="3">
        <f t="shared" si="10"/>
        <v>1300.29</v>
      </c>
      <c r="J35" s="3">
        <f t="shared" si="10"/>
        <v>1236.1099999999999</v>
      </c>
      <c r="K35" s="3">
        <f t="shared" si="10"/>
        <v>1269.6399999999999</v>
      </c>
      <c r="L35" s="3">
        <f t="shared" si="10"/>
        <v>1249.8399999999999</v>
      </c>
      <c r="M35" s="3">
        <f t="shared" si="10"/>
        <v>1286.3499999999999</v>
      </c>
      <c r="N35" s="3">
        <f t="shared" si="10"/>
        <v>1266.54</v>
      </c>
      <c r="O35" s="3">
        <f t="shared" si="10"/>
        <v>1227.3400000000001</v>
      </c>
      <c r="P35" s="3">
        <f t="shared" si="10"/>
        <v>1321.84</v>
      </c>
      <c r="Q35" s="3">
        <f t="shared" si="10"/>
        <v>1334.38</v>
      </c>
      <c r="R35" s="3">
        <f t="shared" si="10"/>
        <v>1360.7</v>
      </c>
      <c r="S35" s="3">
        <f t="shared" si="10"/>
        <v>1320.52</v>
      </c>
    </row>
    <row r="36" spans="1:19" x14ac:dyDescent="0.35">
      <c r="A36" s="1" t="s">
        <v>8</v>
      </c>
      <c r="B36" s="3">
        <v>2022</v>
      </c>
      <c r="C36" s="6">
        <f t="shared" si="8"/>
        <v>249.41000000000003</v>
      </c>
    </row>
    <row r="37" spans="1:19" x14ac:dyDescent="0.35">
      <c r="A37" s="1" t="s">
        <v>9</v>
      </c>
      <c r="B37" s="3">
        <v>2018</v>
      </c>
      <c r="C37" s="6">
        <f>M2</f>
        <v>259.32</v>
      </c>
    </row>
    <row r="38" spans="1:19" x14ac:dyDescent="0.35">
      <c r="A38" s="1" t="s">
        <v>9</v>
      </c>
      <c r="B38" s="3">
        <v>2019</v>
      </c>
      <c r="C38" s="6">
        <f t="shared" ref="C38:C41" si="11">M3</f>
        <v>256.09000000000003</v>
      </c>
    </row>
    <row r="39" spans="1:19" x14ac:dyDescent="0.35">
      <c r="A39" s="1" t="s">
        <v>9</v>
      </c>
      <c r="B39" s="3">
        <v>2020</v>
      </c>
      <c r="C39" s="6">
        <f t="shared" si="11"/>
        <v>256.5</v>
      </c>
    </row>
    <row r="40" spans="1:19" x14ac:dyDescent="0.35">
      <c r="A40" s="1" t="s">
        <v>9</v>
      </c>
      <c r="B40" s="3">
        <v>2021</v>
      </c>
      <c r="C40" s="6">
        <f t="shared" si="11"/>
        <v>258.51</v>
      </c>
    </row>
    <row r="41" spans="1:19" x14ac:dyDescent="0.35">
      <c r="A41" s="1" t="s">
        <v>9</v>
      </c>
      <c r="B41" s="3">
        <v>2022</v>
      </c>
      <c r="C41" s="6">
        <f t="shared" si="11"/>
        <v>255.93</v>
      </c>
    </row>
    <row r="42" spans="1:19" x14ac:dyDescent="0.35">
      <c r="A42" s="1" t="s">
        <v>10</v>
      </c>
      <c r="B42" s="3">
        <v>2018</v>
      </c>
      <c r="C42" s="6">
        <f>N2</f>
        <v>256.97999999999996</v>
      </c>
    </row>
    <row r="43" spans="1:19" x14ac:dyDescent="0.35">
      <c r="A43" s="1" t="s">
        <v>10</v>
      </c>
      <c r="B43" s="3">
        <v>2019</v>
      </c>
      <c r="C43" s="6">
        <f t="shared" ref="C43:C46" si="12">N3</f>
        <v>256.77</v>
      </c>
    </row>
    <row r="44" spans="1:19" x14ac:dyDescent="0.35">
      <c r="A44" s="1" t="s">
        <v>10</v>
      </c>
      <c r="B44" s="3">
        <v>2020</v>
      </c>
      <c r="C44" s="6">
        <f t="shared" si="12"/>
        <v>241.07</v>
      </c>
    </row>
    <row r="45" spans="1:19" x14ac:dyDescent="0.35">
      <c r="A45" s="1" t="s">
        <v>10</v>
      </c>
      <c r="B45" s="3">
        <v>2021</v>
      </c>
      <c r="C45" s="6">
        <f t="shared" si="12"/>
        <v>257.52</v>
      </c>
    </row>
    <row r="46" spans="1:19" x14ac:dyDescent="0.35">
      <c r="A46" s="1" t="s">
        <v>10</v>
      </c>
      <c r="B46" s="3">
        <v>2022</v>
      </c>
      <c r="C46" s="6">
        <f t="shared" si="12"/>
        <v>254.2</v>
      </c>
    </row>
    <row r="47" spans="1:19" x14ac:dyDescent="0.35">
      <c r="A47" s="1" t="s">
        <v>11</v>
      </c>
      <c r="B47" s="3">
        <v>2018</v>
      </c>
      <c r="C47" s="6">
        <f>O2</f>
        <v>240.56</v>
      </c>
    </row>
    <row r="48" spans="1:19" x14ac:dyDescent="0.35">
      <c r="A48" s="1" t="s">
        <v>11</v>
      </c>
      <c r="B48" s="3">
        <v>2019</v>
      </c>
      <c r="C48" s="6">
        <f t="shared" ref="C48:C51" si="13">O3</f>
        <v>238.17999999999998</v>
      </c>
    </row>
    <row r="49" spans="1:3" x14ac:dyDescent="0.35">
      <c r="A49" s="1" t="s">
        <v>11</v>
      </c>
      <c r="B49" s="3">
        <v>2020</v>
      </c>
      <c r="C49" s="6">
        <f t="shared" si="13"/>
        <v>264.5</v>
      </c>
    </row>
    <row r="50" spans="1:3" x14ac:dyDescent="0.35">
      <c r="A50" s="1" t="s">
        <v>11</v>
      </c>
      <c r="B50" s="3">
        <v>2021</v>
      </c>
      <c r="C50" s="6">
        <f t="shared" si="13"/>
        <v>241.76</v>
      </c>
    </row>
    <row r="51" spans="1:3" x14ac:dyDescent="0.35">
      <c r="A51" s="1" t="s">
        <v>11</v>
      </c>
      <c r="B51" s="3">
        <v>2022</v>
      </c>
      <c r="C51" s="6">
        <f t="shared" si="13"/>
        <v>242.34</v>
      </c>
    </row>
    <row r="52" spans="1:3" x14ac:dyDescent="0.35">
      <c r="A52" s="1" t="s">
        <v>13</v>
      </c>
      <c r="B52" s="3">
        <v>2018</v>
      </c>
      <c r="C52" s="6">
        <f>P2</f>
        <v>265.39</v>
      </c>
    </row>
    <row r="53" spans="1:3" x14ac:dyDescent="0.35">
      <c r="A53" s="1" t="s">
        <v>13</v>
      </c>
      <c r="B53" s="3">
        <v>2019</v>
      </c>
      <c r="C53" s="6">
        <f t="shared" ref="C53:C56" si="14">P3</f>
        <v>264.02999999999997</v>
      </c>
    </row>
    <row r="54" spans="1:3" x14ac:dyDescent="0.35">
      <c r="A54" s="1" t="s">
        <v>13</v>
      </c>
      <c r="B54" s="3">
        <v>2020</v>
      </c>
      <c r="C54" s="6">
        <f t="shared" si="14"/>
        <v>265.12</v>
      </c>
    </row>
    <row r="55" spans="1:3" x14ac:dyDescent="0.35">
      <c r="A55" s="1" t="s">
        <v>13</v>
      </c>
      <c r="B55" s="3">
        <v>2021</v>
      </c>
      <c r="C55" s="6">
        <f t="shared" si="14"/>
        <v>264.44</v>
      </c>
    </row>
    <row r="56" spans="1:3" x14ac:dyDescent="0.35">
      <c r="A56" s="1" t="s">
        <v>13</v>
      </c>
      <c r="B56" s="3">
        <v>2022</v>
      </c>
      <c r="C56" s="6">
        <f t="shared" si="14"/>
        <v>262.86</v>
      </c>
    </row>
    <row r="57" spans="1:3" x14ac:dyDescent="0.35">
      <c r="A57" s="1" t="s">
        <v>12</v>
      </c>
      <c r="B57" s="3">
        <v>2018</v>
      </c>
      <c r="C57" s="6">
        <f>Q2</f>
        <v>263.64999999999998</v>
      </c>
    </row>
    <row r="58" spans="1:3" x14ac:dyDescent="0.35">
      <c r="A58" s="1" t="s">
        <v>12</v>
      </c>
      <c r="B58" s="3">
        <v>2019</v>
      </c>
      <c r="C58" s="6">
        <f t="shared" ref="C58:C61" si="15">Q3</f>
        <v>265.09000000000003</v>
      </c>
    </row>
    <row r="59" spans="1:3" x14ac:dyDescent="0.35">
      <c r="A59" s="1" t="s">
        <v>12</v>
      </c>
      <c r="B59" s="3">
        <v>2020</v>
      </c>
      <c r="C59" s="6">
        <f t="shared" si="15"/>
        <v>273.7</v>
      </c>
    </row>
    <row r="60" spans="1:3" x14ac:dyDescent="0.35">
      <c r="A60" s="1" t="s">
        <v>12</v>
      </c>
      <c r="B60" s="3">
        <v>2021</v>
      </c>
      <c r="C60" s="6">
        <f t="shared" si="15"/>
        <v>267.55</v>
      </c>
    </row>
    <row r="61" spans="1:3" x14ac:dyDescent="0.35">
      <c r="A61" s="1" t="s">
        <v>12</v>
      </c>
      <c r="B61" s="3">
        <v>2022</v>
      </c>
      <c r="C61" s="6">
        <f t="shared" si="15"/>
        <v>264.39</v>
      </c>
    </row>
    <row r="62" spans="1:3" x14ac:dyDescent="0.35">
      <c r="A62" s="1" t="s">
        <v>14</v>
      </c>
      <c r="B62" s="3">
        <v>2018</v>
      </c>
      <c r="C62" s="6">
        <f>R2</f>
        <v>273.86</v>
      </c>
    </row>
    <row r="63" spans="1:3" x14ac:dyDescent="0.35">
      <c r="A63" s="1" t="s">
        <v>14</v>
      </c>
      <c r="B63" s="3">
        <v>2019</v>
      </c>
      <c r="C63" s="6">
        <f t="shared" ref="C63:C66" si="16">R3</f>
        <v>274.8</v>
      </c>
    </row>
    <row r="64" spans="1:3" x14ac:dyDescent="0.35">
      <c r="A64" s="1" t="s">
        <v>14</v>
      </c>
      <c r="B64" s="3">
        <v>2020</v>
      </c>
      <c r="C64" s="6">
        <f t="shared" si="16"/>
        <v>264.33</v>
      </c>
    </row>
    <row r="65" spans="1:3" x14ac:dyDescent="0.35">
      <c r="A65" s="1" t="s">
        <v>14</v>
      </c>
      <c r="B65" s="3">
        <v>2021</v>
      </c>
      <c r="C65" s="6">
        <f t="shared" si="16"/>
        <v>274.94</v>
      </c>
    </row>
    <row r="66" spans="1:3" x14ac:dyDescent="0.35">
      <c r="A66" s="1" t="s">
        <v>14</v>
      </c>
      <c r="B66" s="3">
        <v>2022</v>
      </c>
      <c r="C66" s="6">
        <f t="shared" si="16"/>
        <v>272.77</v>
      </c>
    </row>
    <row r="67" spans="1:3" x14ac:dyDescent="0.35">
      <c r="A67" s="1" t="s">
        <v>15</v>
      </c>
      <c r="B67" s="3">
        <v>2018</v>
      </c>
      <c r="C67" s="6">
        <f>S2</f>
        <v>261.77</v>
      </c>
    </row>
    <row r="68" spans="1:3" x14ac:dyDescent="0.35">
      <c r="A68" s="1" t="s">
        <v>15</v>
      </c>
      <c r="B68" s="3">
        <v>2019</v>
      </c>
      <c r="C68" s="6">
        <f t="shared" ref="C68:C71" si="17">S3</f>
        <v>262.77999999999997</v>
      </c>
    </row>
    <row r="69" spans="1:3" x14ac:dyDescent="0.35">
      <c r="A69" s="1" t="s">
        <v>15</v>
      </c>
      <c r="B69" s="3">
        <v>2020</v>
      </c>
      <c r="C69" s="6">
        <f t="shared" si="17"/>
        <v>259.85000000000002</v>
      </c>
    </row>
    <row r="70" spans="1:3" x14ac:dyDescent="0.35">
      <c r="A70" s="1" t="s">
        <v>15</v>
      </c>
      <c r="B70" s="3">
        <v>2021</v>
      </c>
      <c r="C70" s="6">
        <f t="shared" si="17"/>
        <v>267.81</v>
      </c>
    </row>
    <row r="71" spans="1:3" x14ac:dyDescent="0.35">
      <c r="A71" s="1" t="s">
        <v>15</v>
      </c>
      <c r="B71" s="3">
        <v>2022</v>
      </c>
      <c r="C71" s="6">
        <f t="shared" si="17"/>
        <v>268.31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Gabung (Tahun)</vt:lpstr>
      <vt:lpstr>Data Gabung (Kabupaten)</vt:lpstr>
      <vt:lpstr>Rata-rata Lama Sekolah</vt:lpstr>
      <vt:lpstr>Pendapatan Per Kapita</vt:lpstr>
      <vt:lpstr>Angka Ketergantungan</vt:lpstr>
      <vt:lpstr>Angka Melek Huruf</vt:lpstr>
      <vt:lpstr>Jumlah Sekolah</vt:lpstr>
      <vt:lpstr>Rasio Murid Terhadap Guru</vt:lpstr>
      <vt:lpstr>Angka Partisipasi Sekolah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Kuvera Witana</dc:creator>
  <cp:lastModifiedBy>Juli Yandi Rahman</cp:lastModifiedBy>
  <dcterms:created xsi:type="dcterms:W3CDTF">2023-11-07T16:26:53Z</dcterms:created>
  <dcterms:modified xsi:type="dcterms:W3CDTF">2024-02-11T04:05:57Z</dcterms:modified>
</cp:coreProperties>
</file>